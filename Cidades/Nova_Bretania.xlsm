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Matheus\Documents\RPG\Taberna Maça Envenenada\Aventuras Prontas\Medieval\Novo Continente\Mercado v1.0.0.02\Cidades\"/>
    </mc:Choice>
  </mc:AlternateContent>
  <xr:revisionPtr revIDLastSave="0" documentId="13_ncr:1_{5E3481BB-737A-400E-B7CA-E8EBFD0CC5C8}" xr6:coauthVersionLast="47" xr6:coauthVersionMax="47" xr10:uidLastSave="{00000000-0000-0000-0000-000000000000}"/>
  <bookViews>
    <workbookView xWindow="-108" yWindow="-108" windowWidth="23256" windowHeight="12576" xr2:uid="{E1B689A3-CDDF-4613-98A3-03EB180E7A3D}"/>
  </bookViews>
  <sheets>
    <sheet name="Mercado" sheetId="1" r:id="rId1"/>
    <sheet name="Equipamentos" sheetId="8" r:id="rId2"/>
    <sheet name="Montarias" sheetId="7" r:id="rId3"/>
    <sheet name="Serviços" sheetId="9" r:id="rId4"/>
    <sheet name="Casas" sheetId="5" r:id="rId5"/>
    <sheet name="Relações" sheetId="4" r:id="rId6"/>
    <sheet name="CONFIG" sheetId="6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4" l="1" a="1"/>
  <c r="C34" i="4" s="1"/>
  <c r="C35" i="4" a="1"/>
  <c r="C35" i="4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/>
  <c r="C44" i="4" a="1"/>
  <c r="C44" i="4" s="1"/>
  <c r="C45" i="4" a="1"/>
  <c r="C45" i="4" s="1"/>
  <c r="C46" i="4" a="1"/>
  <c r="C46" i="4" s="1"/>
  <c r="C47" i="4" a="1"/>
  <c r="C47" i="4"/>
  <c r="C48" i="4" a="1"/>
  <c r="C48" i="4" s="1"/>
  <c r="C49" i="4" a="1"/>
  <c r="C49" i="4" s="1"/>
  <c r="C50" i="4" a="1"/>
  <c r="C50" i="4" s="1"/>
  <c r="C51" i="4" a="1"/>
  <c r="C51" i="4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E8" i="4" a="1"/>
  <c r="E8" i="4" s="1"/>
  <c r="E9" i="4" a="1"/>
  <c r="E9" i="4" s="1"/>
  <c r="E10" i="4" a="1"/>
  <c r="E10" i="4" s="1"/>
  <c r="E11" i="4" a="1"/>
  <c r="E11" i="4" s="1"/>
  <c r="E12" i="4" a="1"/>
  <c r="E12" i="4" s="1"/>
  <c r="E13" i="4" a="1"/>
  <c r="E13" i="4" s="1"/>
  <c r="E14" i="4" a="1"/>
  <c r="E14" i="4"/>
  <c r="E15" i="4" a="1"/>
  <c r="E15" i="4" s="1"/>
  <c r="E16" i="4" a="1"/>
  <c r="E16" i="4" s="1"/>
  <c r="E17" i="4" a="1"/>
  <c r="E17" i="4" s="1"/>
  <c r="E18" i="4" a="1"/>
  <c r="E18" i="4"/>
  <c r="E19" i="4" a="1"/>
  <c r="E19" i="4" s="1"/>
  <c r="E20" i="4" a="1"/>
  <c r="E20" i="4" s="1"/>
  <c r="E21" i="4" a="1"/>
  <c r="E21" i="4" s="1"/>
  <c r="E22" i="4" a="1"/>
  <c r="E22" i="4" s="1"/>
  <c r="E23" i="4" a="1"/>
  <c r="E23" i="4" s="1"/>
  <c r="E24" i="4" a="1"/>
  <c r="E24" i="4" s="1"/>
  <c r="E25" i="4" a="1"/>
  <c r="E25" i="4" s="1"/>
  <c r="E26" i="4" a="1"/>
  <c r="E26" i="4" s="1"/>
  <c r="E27" i="4" a="1"/>
  <c r="E27" i="4" s="1"/>
  <c r="E28" i="4" a="1"/>
  <c r="E28" i="4" s="1"/>
  <c r="E29" i="4" a="1"/>
  <c r="E29" i="4" s="1"/>
  <c r="E30" i="4" a="1"/>
  <c r="E30" i="4"/>
  <c r="E31" i="4" a="1"/>
  <c r="E31" i="4" s="1"/>
  <c r="E32" i="4" a="1"/>
  <c r="E32" i="4" s="1"/>
  <c r="E33" i="4" a="1"/>
  <c r="E33" i="4" s="1"/>
  <c r="E34" i="4" a="1"/>
  <c r="E34" i="4"/>
  <c r="C8" i="4" a="1"/>
  <c r="C8" i="4" s="1"/>
  <c r="C9" i="4" a="1"/>
  <c r="C9" i="4" s="1"/>
  <c r="C10" i="4" a="1"/>
  <c r="C10" i="4" s="1"/>
  <c r="C11" i="4" a="1"/>
  <c r="C11" i="4" s="1"/>
  <c r="C12" i="4" a="1"/>
  <c r="C12" i="4"/>
  <c r="C13" i="4" a="1"/>
  <c r="C13" i="4" s="1"/>
  <c r="C14" i="4" a="1"/>
  <c r="C14" i="4" s="1"/>
  <c r="C15" i="4" a="1"/>
  <c r="C15" i="4" s="1"/>
  <c r="C16" i="4" a="1"/>
  <c r="C16" i="4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/>
  <c r="C25" i="4" a="1"/>
  <c r="C25" i="4" s="1"/>
  <c r="C26" i="4" a="1"/>
  <c r="C26" i="4" s="1"/>
  <c r="C27" i="4" a="1"/>
  <c r="C27" i="4" s="1"/>
  <c r="C28" i="4" a="1"/>
  <c r="C28" i="4"/>
  <c r="C29" i="4" a="1"/>
  <c r="C29" i="4" s="1"/>
  <c r="C30" i="4" a="1"/>
  <c r="C30" i="4" s="1"/>
  <c r="C31" i="4" a="1"/>
  <c r="C31" i="4" s="1"/>
  <c r="C32" i="4" a="1"/>
  <c r="C32" i="4"/>
  <c r="C33" i="4" a="1"/>
  <c r="C33" i="4" s="1"/>
  <c r="A93" i="4"/>
  <c r="A94" i="4"/>
  <c r="A95" i="4"/>
  <c r="A96" i="4"/>
  <c r="A97" i="4"/>
  <c r="A98" i="4"/>
  <c r="A99" i="4"/>
  <c r="A100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B2" i="6"/>
  <c r="D12" i="9" l="1"/>
  <c r="D6" i="9"/>
  <c r="D5" i="9"/>
  <c r="D10" i="9"/>
  <c r="D9" i="9"/>
  <c r="D11" i="9"/>
  <c r="D20" i="6"/>
  <c r="D39" i="8"/>
  <c r="D38" i="8"/>
  <c r="D37" i="8"/>
  <c r="D12" i="8"/>
  <c r="D13" i="8"/>
  <c r="D11" i="8"/>
  <c r="D18" i="8"/>
  <c r="D17" i="8"/>
  <c r="D16" i="8"/>
  <c r="D15" i="8"/>
  <c r="D6" i="8"/>
  <c r="D10" i="8"/>
  <c r="D8" i="8"/>
  <c r="D9" i="8"/>
  <c r="D7" i="8"/>
  <c r="D31" i="8"/>
  <c r="D20" i="8"/>
  <c r="D21" i="8"/>
  <c r="D27" i="8"/>
  <c r="D19" i="8"/>
  <c r="D30" i="8"/>
  <c r="D33" i="8"/>
  <c r="D32" i="8"/>
  <c r="D25" i="8"/>
  <c r="D5" i="8"/>
  <c r="D26" i="8"/>
  <c r="D23" i="8"/>
  <c r="D29" i="8"/>
  <c r="D36" i="8"/>
  <c r="D24" i="8"/>
  <c r="D10" i="7"/>
  <c r="D8" i="7"/>
  <c r="D7" i="7"/>
  <c r="D6" i="7"/>
  <c r="D5" i="7"/>
  <c r="D27" i="6" a="1"/>
  <c r="D27" i="6" l="1"/>
  <c r="D19" i="6" l="1"/>
  <c r="D23" i="6" l="1"/>
  <c r="D21" i="6"/>
  <c r="D22" i="6" s="1"/>
  <c r="D35" i="8"/>
  <c r="D34" i="8"/>
  <c r="A11" i="6" a="1"/>
  <c r="D3" i="6"/>
  <c r="B3" i="6"/>
  <c r="D11" i="6" a="1"/>
  <c r="E10" i="6" a="1"/>
  <c r="D2" i="6"/>
  <c r="A18" i="6" a="1"/>
  <c r="B10" i="6" a="1"/>
  <c r="D10" i="6" a="1"/>
  <c r="C11" i="6" a="1"/>
  <c r="E11" i="6" a="1"/>
  <c r="A10" i="6" a="1"/>
  <c r="C10" i="6" a="1"/>
  <c r="B11" i="6" a="1"/>
  <c r="B3" i="4" l="1"/>
  <c r="A3" i="4"/>
  <c r="A4" i="4"/>
  <c r="A5" i="4"/>
  <c r="A6" i="4"/>
  <c r="A7" i="4"/>
  <c r="A18" i="6"/>
  <c r="A2" i="4" s="1"/>
  <c r="D4" i="4"/>
  <c r="D7" i="4"/>
  <c r="D2" i="4"/>
  <c r="B4" i="4"/>
  <c r="D3" i="4"/>
  <c r="D5" i="4"/>
  <c r="D6" i="4"/>
  <c r="B5" i="4"/>
  <c r="B7" i="4"/>
  <c r="B6" i="4"/>
  <c r="B2" i="4"/>
  <c r="D4" i="6"/>
  <c r="G1" i="5" s="1"/>
  <c r="B10" i="6"/>
  <c r="C11" i="6"/>
  <c r="E11" i="6"/>
  <c r="E10" i="6"/>
  <c r="A10" i="6"/>
  <c r="B11" i="6"/>
  <c r="D10" i="6"/>
  <c r="C10" i="6"/>
  <c r="D11" i="6"/>
  <c r="A11" i="6"/>
  <c r="C4" i="4" a="1"/>
  <c r="C2" i="4" a="1"/>
  <c r="E7" i="4" a="1"/>
  <c r="E6" i="4" a="1"/>
  <c r="E4" i="4" a="1"/>
  <c r="C3" i="4" a="1"/>
  <c r="C6" i="4" a="1"/>
  <c r="E5" i="4" a="1"/>
  <c r="E3" i="4" a="1"/>
  <c r="C7" i="4" a="1"/>
  <c r="C4" i="4" l="1"/>
  <c r="C2" i="4"/>
  <c r="E7" i="4"/>
  <c r="E3" i="4"/>
  <c r="E5" i="4"/>
  <c r="E4" i="4"/>
  <c r="E6" i="4"/>
  <c r="C7" i="4"/>
  <c r="C6" i="4"/>
  <c r="C3" i="4"/>
  <c r="G1" i="9"/>
  <c r="E12" i="9" s="1"/>
  <c r="F12" i="9" s="1"/>
  <c r="G1" i="1"/>
  <c r="G1" i="7"/>
  <c r="E7" i="7" s="1"/>
  <c r="F7" i="7" s="1"/>
  <c r="G1" i="8"/>
  <c r="E35" i="8" s="1"/>
  <c r="F35" i="8" s="1"/>
  <c r="B12" i="6"/>
  <c r="C12" i="6" s="1"/>
  <c r="D12" i="6" s="1"/>
  <c r="E12" i="6" s="1"/>
  <c r="A12" i="6"/>
  <c r="C17" i="5"/>
  <c r="D17" i="5" s="1"/>
  <c r="C18" i="5"/>
  <c r="D18" i="5" s="1"/>
  <c r="C19" i="5"/>
  <c r="D19" i="5" s="1"/>
  <c r="C5" i="5"/>
  <c r="D5" i="5" s="1"/>
  <c r="C6" i="5"/>
  <c r="D6" i="5" s="1"/>
  <c r="C8" i="5"/>
  <c r="D8" i="5" s="1"/>
  <c r="C7" i="5"/>
  <c r="D7" i="5" s="1"/>
  <c r="C9" i="5"/>
  <c r="D9" i="5" s="1"/>
  <c r="C10" i="5"/>
  <c r="D10" i="5" s="1"/>
  <c r="C12" i="5"/>
  <c r="D12" i="5" s="1"/>
  <c r="C11" i="5"/>
  <c r="D11" i="5" s="1"/>
  <c r="C13" i="5"/>
  <c r="D13" i="5" s="1"/>
  <c r="C14" i="5"/>
  <c r="D14" i="5" s="1"/>
  <c r="C16" i="5"/>
  <c r="D16" i="5" s="1"/>
  <c r="C15" i="5"/>
  <c r="D15" i="5" s="1"/>
  <c r="C20" i="5"/>
  <c r="D20" i="5" s="1"/>
  <c r="D8" i="9"/>
  <c r="D7" i="9"/>
  <c r="D6" i="1" a="1"/>
  <c r="D5" i="1" a="1"/>
  <c r="D8" i="1" a="1"/>
  <c r="D7" i="1" a="1"/>
  <c r="D59" i="1" a="1"/>
  <c r="D53" i="1" a="1"/>
  <c r="D49" i="1" a="1"/>
  <c r="D43" i="1" a="1"/>
  <c r="D39" i="1" a="1"/>
  <c r="D35" i="1" a="1"/>
  <c r="D33" i="1" a="1"/>
  <c r="D29" i="1" a="1"/>
  <c r="D27" i="1" a="1"/>
  <c r="D25" i="1" a="1"/>
  <c r="D23" i="1" a="1"/>
  <c r="D21" i="1" a="1"/>
  <c r="D19" i="1" a="1"/>
  <c r="D17" i="1" a="1"/>
  <c r="D15" i="1" a="1"/>
  <c r="D11" i="1" a="1"/>
  <c r="D62" i="1" a="1"/>
  <c r="D60" i="1" a="1"/>
  <c r="D58" i="1" a="1"/>
  <c r="D56" i="1" a="1"/>
  <c r="D54" i="1" a="1"/>
  <c r="D52" i="1" a="1"/>
  <c r="D50" i="1" a="1"/>
  <c r="D48" i="1" a="1"/>
  <c r="D44" i="1" a="1"/>
  <c r="D42" i="1" a="1"/>
  <c r="D40" i="1" a="1"/>
  <c r="D38" i="1" a="1"/>
  <c r="D36" i="1" a="1"/>
  <c r="D34" i="1" a="1"/>
  <c r="D32" i="1" a="1"/>
  <c r="D30" i="1" a="1"/>
  <c r="D28" i="1" a="1"/>
  <c r="D26" i="1" a="1"/>
  <c r="D24" i="1" a="1"/>
  <c r="D22" i="1" a="1"/>
  <c r="D20" i="1" a="1"/>
  <c r="D18" i="1" a="1"/>
  <c r="D16" i="1" a="1"/>
  <c r="D14" i="1" a="1"/>
  <c r="D12" i="1" a="1"/>
  <c r="D10" i="1" a="1"/>
  <c r="D57" i="1" a="1"/>
  <c r="D45" i="1" a="1"/>
  <c r="D13" i="1" a="1"/>
  <c r="D61" i="1" a="1"/>
  <c r="D55" i="1" a="1"/>
  <c r="D51" i="1" a="1"/>
  <c r="D47" i="1" a="1"/>
  <c r="D41" i="1" a="1"/>
  <c r="D37" i="1" a="1"/>
  <c r="D31" i="1" a="1"/>
  <c r="D46" i="1" a="1"/>
  <c r="D9" i="1" a="1"/>
  <c r="E2" i="4" a="1"/>
  <c r="C5" i="4" a="1"/>
  <c r="D7" i="1" l="1"/>
  <c r="D8" i="1"/>
  <c r="D5" i="1"/>
  <c r="D6" i="1"/>
  <c r="E6" i="1" s="1"/>
  <c r="F6" i="1" s="1"/>
  <c r="J6" i="1" s="1"/>
  <c r="I6" i="1" s="1"/>
  <c r="H6" i="1" s="1"/>
  <c r="G6" i="1" s="1"/>
  <c r="D46" i="1"/>
  <c r="D31" i="1"/>
  <c r="D37" i="1"/>
  <c r="E37" i="1" s="1"/>
  <c r="F37" i="1" s="1"/>
  <c r="J37" i="1" s="1"/>
  <c r="I37" i="1" s="1"/>
  <c r="H37" i="1" s="1"/>
  <c r="D41" i="1"/>
  <c r="E41" i="1" s="1"/>
  <c r="F41" i="1" s="1"/>
  <c r="J41" i="1" s="1"/>
  <c r="I41" i="1" s="1"/>
  <c r="H41" i="1" s="1"/>
  <c r="G41" i="1" s="1"/>
  <c r="D47" i="1"/>
  <c r="D51" i="1"/>
  <c r="D55" i="1"/>
  <c r="E55" i="1" s="1"/>
  <c r="F55" i="1" s="1"/>
  <c r="J55" i="1" s="1"/>
  <c r="I55" i="1" s="1"/>
  <c r="H55" i="1" s="1"/>
  <c r="G55" i="1" s="1"/>
  <c r="D61" i="1"/>
  <c r="D13" i="1"/>
  <c r="D45" i="1"/>
  <c r="D57" i="1"/>
  <c r="E57" i="1" s="1"/>
  <c r="F57" i="1" s="1"/>
  <c r="J57" i="1" s="1"/>
  <c r="I57" i="1" s="1"/>
  <c r="H57" i="1" s="1"/>
  <c r="G57" i="1" s="1"/>
  <c r="D10" i="1"/>
  <c r="E10" i="1" s="1"/>
  <c r="F10" i="1" s="1"/>
  <c r="J10" i="1" s="1"/>
  <c r="I10" i="1" s="1"/>
  <c r="H10" i="1" s="1"/>
  <c r="G10" i="1" s="1"/>
  <c r="D12" i="1"/>
  <c r="D14" i="1"/>
  <c r="D16" i="1"/>
  <c r="E16" i="1" s="1"/>
  <c r="F16" i="1" s="1"/>
  <c r="J16" i="1" s="1"/>
  <c r="I16" i="1" s="1"/>
  <c r="H16" i="1" s="1"/>
  <c r="G16" i="1" s="1"/>
  <c r="D18" i="1"/>
  <c r="E18" i="1" s="1"/>
  <c r="F18" i="1" s="1"/>
  <c r="J18" i="1" s="1"/>
  <c r="I18" i="1" s="1"/>
  <c r="H18" i="1" s="1"/>
  <c r="D20" i="1"/>
  <c r="D22" i="1"/>
  <c r="D24" i="1"/>
  <c r="E24" i="1" s="1"/>
  <c r="F24" i="1" s="1"/>
  <c r="J24" i="1" s="1"/>
  <c r="I24" i="1" s="1"/>
  <c r="H24" i="1" s="1"/>
  <c r="D26" i="1"/>
  <c r="D28" i="1"/>
  <c r="D30" i="1"/>
  <c r="D32" i="1"/>
  <c r="E32" i="1" s="1"/>
  <c r="F32" i="1" s="1"/>
  <c r="J32" i="1" s="1"/>
  <c r="I32" i="1" s="1"/>
  <c r="H32" i="1" s="1"/>
  <c r="D34" i="1"/>
  <c r="E34" i="1" s="1"/>
  <c r="F34" i="1" s="1"/>
  <c r="J34" i="1" s="1"/>
  <c r="I34" i="1" s="1"/>
  <c r="H34" i="1" s="1"/>
  <c r="G34" i="1" s="1"/>
  <c r="D36" i="1"/>
  <c r="D38" i="1"/>
  <c r="D40" i="1"/>
  <c r="E40" i="1" s="1"/>
  <c r="F40" i="1" s="1"/>
  <c r="J40" i="1" s="1"/>
  <c r="I40" i="1" s="1"/>
  <c r="H40" i="1" s="1"/>
  <c r="G40" i="1" s="1"/>
  <c r="D42" i="1"/>
  <c r="E42" i="1" s="1"/>
  <c r="F42" i="1" s="1"/>
  <c r="J42" i="1" s="1"/>
  <c r="I42" i="1" s="1"/>
  <c r="H42" i="1" s="1"/>
  <c r="G42" i="1" s="1"/>
  <c r="D44" i="1"/>
  <c r="D48" i="1"/>
  <c r="D50" i="1"/>
  <c r="E50" i="1" s="1"/>
  <c r="F50" i="1" s="1"/>
  <c r="J50" i="1" s="1"/>
  <c r="I50" i="1" s="1"/>
  <c r="H50" i="1" s="1"/>
  <c r="G50" i="1" s="1"/>
  <c r="D52" i="1"/>
  <c r="E52" i="1" s="1"/>
  <c r="F52" i="1" s="1"/>
  <c r="J52" i="1" s="1"/>
  <c r="I52" i="1" s="1"/>
  <c r="H52" i="1" s="1"/>
  <c r="G52" i="1" s="1"/>
  <c r="D54" i="1"/>
  <c r="D56" i="1"/>
  <c r="D58" i="1"/>
  <c r="E58" i="1" s="1"/>
  <c r="F58" i="1" s="1"/>
  <c r="J58" i="1" s="1"/>
  <c r="I58" i="1" s="1"/>
  <c r="H58" i="1" s="1"/>
  <c r="G58" i="1" s="1"/>
  <c r="D60" i="1"/>
  <c r="E60" i="1" s="1"/>
  <c r="F60" i="1" s="1"/>
  <c r="J60" i="1" s="1"/>
  <c r="I60" i="1" s="1"/>
  <c r="H60" i="1" s="1"/>
  <c r="G60" i="1" s="1"/>
  <c r="D62" i="1"/>
  <c r="D11" i="1"/>
  <c r="D15" i="1"/>
  <c r="E15" i="1" s="1"/>
  <c r="F15" i="1" s="1"/>
  <c r="J15" i="1" s="1"/>
  <c r="I15" i="1" s="1"/>
  <c r="H15" i="1" s="1"/>
  <c r="D17" i="1"/>
  <c r="E17" i="1" s="1"/>
  <c r="F17" i="1" s="1"/>
  <c r="J17" i="1" s="1"/>
  <c r="I17" i="1" s="1"/>
  <c r="H17" i="1" s="1"/>
  <c r="D19" i="1"/>
  <c r="D21" i="1"/>
  <c r="D23" i="1"/>
  <c r="E23" i="1" s="1"/>
  <c r="F23" i="1" s="1"/>
  <c r="J23" i="1" s="1"/>
  <c r="I23" i="1" s="1"/>
  <c r="H23" i="1" s="1"/>
  <c r="D25" i="1"/>
  <c r="E25" i="1" s="1"/>
  <c r="F25" i="1" s="1"/>
  <c r="J25" i="1" s="1"/>
  <c r="I25" i="1" s="1"/>
  <c r="H25" i="1" s="1"/>
  <c r="D27" i="1"/>
  <c r="D29" i="1"/>
  <c r="D33" i="1"/>
  <c r="E33" i="1" s="1"/>
  <c r="F33" i="1" s="1"/>
  <c r="J33" i="1" s="1"/>
  <c r="I33" i="1" s="1"/>
  <c r="H33" i="1" s="1"/>
  <c r="D35" i="1"/>
  <c r="E35" i="1" s="1"/>
  <c r="F35" i="1" s="1"/>
  <c r="J35" i="1" s="1"/>
  <c r="I35" i="1" s="1"/>
  <c r="H35" i="1" s="1"/>
  <c r="G35" i="1" s="1"/>
  <c r="D39" i="1"/>
  <c r="D43" i="1"/>
  <c r="D49" i="1"/>
  <c r="E49" i="1" s="1"/>
  <c r="F49" i="1" s="1"/>
  <c r="J49" i="1" s="1"/>
  <c r="I49" i="1" s="1"/>
  <c r="H49" i="1" s="1"/>
  <c r="D53" i="1"/>
  <c r="E53" i="1" s="1"/>
  <c r="F53" i="1" s="1"/>
  <c r="J53" i="1" s="1"/>
  <c r="I53" i="1" s="1"/>
  <c r="H53" i="1" s="1"/>
  <c r="D59" i="1"/>
  <c r="D9" i="1"/>
  <c r="E48" i="1"/>
  <c r="F48" i="1" s="1"/>
  <c r="J48" i="1" s="1"/>
  <c r="I48" i="1" s="1"/>
  <c r="H48" i="1" s="1"/>
  <c r="G48" i="1" s="1"/>
  <c r="E31" i="1"/>
  <c r="F31" i="1" s="1"/>
  <c r="J31" i="1" s="1"/>
  <c r="I31" i="1" s="1"/>
  <c r="H31" i="1" s="1"/>
  <c r="G31" i="1" s="1"/>
  <c r="E39" i="1"/>
  <c r="F39" i="1" s="1"/>
  <c r="J39" i="1" s="1"/>
  <c r="I39" i="1" s="1"/>
  <c r="H39" i="1" s="1"/>
  <c r="G39" i="1" s="1"/>
  <c r="E47" i="1"/>
  <c r="F47" i="1" s="1"/>
  <c r="J47" i="1" s="1"/>
  <c r="I47" i="1" s="1"/>
  <c r="H47" i="1" s="1"/>
  <c r="E51" i="1"/>
  <c r="F51" i="1" s="1"/>
  <c r="J51" i="1" s="1"/>
  <c r="I51" i="1" s="1"/>
  <c r="H51" i="1" s="1"/>
  <c r="G51" i="1" s="1"/>
  <c r="E46" i="1"/>
  <c r="F46" i="1" s="1"/>
  <c r="J46" i="1" s="1"/>
  <c r="I46" i="1" s="1"/>
  <c r="H46" i="1" s="1"/>
  <c r="G46" i="1" s="1"/>
  <c r="E54" i="1"/>
  <c r="F54" i="1" s="1"/>
  <c r="J54" i="1" s="1"/>
  <c r="I54" i="1" s="1"/>
  <c r="H54" i="1" s="1"/>
  <c r="G54" i="1" s="1"/>
  <c r="E14" i="1"/>
  <c r="F14" i="1" s="1"/>
  <c r="J14" i="1" s="1"/>
  <c r="I14" i="1" s="1"/>
  <c r="H14" i="1" s="1"/>
  <c r="E22" i="1"/>
  <c r="F22" i="1" s="1"/>
  <c r="J22" i="1" s="1"/>
  <c r="I22" i="1" s="1"/>
  <c r="H22" i="1" s="1"/>
  <c r="G22" i="1" s="1"/>
  <c r="E26" i="1"/>
  <c r="F26" i="1" s="1"/>
  <c r="J26" i="1" s="1"/>
  <c r="I26" i="1" s="1"/>
  <c r="H26" i="1" s="1"/>
  <c r="E30" i="1"/>
  <c r="F30" i="1" s="1"/>
  <c r="J30" i="1" s="1"/>
  <c r="I30" i="1" s="1"/>
  <c r="H30" i="1" s="1"/>
  <c r="E38" i="1"/>
  <c r="F38" i="1" s="1"/>
  <c r="J38" i="1" s="1"/>
  <c r="I38" i="1" s="1"/>
  <c r="H38" i="1" s="1"/>
  <c r="E56" i="1"/>
  <c r="F56" i="1" s="1"/>
  <c r="J56" i="1" s="1"/>
  <c r="I56" i="1" s="1"/>
  <c r="H56" i="1" s="1"/>
  <c r="G56" i="1" s="1"/>
  <c r="E7" i="1"/>
  <c r="F7" i="1" s="1"/>
  <c r="J7" i="1" s="1"/>
  <c r="I7" i="1" s="1"/>
  <c r="H7" i="1" s="1"/>
  <c r="G7" i="1" s="1"/>
  <c r="E9" i="1"/>
  <c r="F9" i="1" s="1"/>
  <c r="J9" i="1" s="1"/>
  <c r="I9" i="1" s="1"/>
  <c r="H9" i="1" s="1"/>
  <c r="G9" i="1" s="1"/>
  <c r="E19" i="1"/>
  <c r="F19" i="1" s="1"/>
  <c r="J19" i="1" s="1"/>
  <c r="I19" i="1" s="1"/>
  <c r="H19" i="1" s="1"/>
  <c r="G19" i="1" s="1"/>
  <c r="E8" i="1"/>
  <c r="F8" i="1" s="1"/>
  <c r="J8" i="1" s="1"/>
  <c r="I8" i="1" s="1"/>
  <c r="H8" i="1" s="1"/>
  <c r="E28" i="1"/>
  <c r="F28" i="1" s="1"/>
  <c r="J28" i="1" s="1"/>
  <c r="I28" i="1" s="1"/>
  <c r="H28" i="1" s="1"/>
  <c r="G28" i="1" s="1"/>
  <c r="E45" i="1"/>
  <c r="F45" i="1" s="1"/>
  <c r="J45" i="1" s="1"/>
  <c r="I45" i="1" s="1"/>
  <c r="H45" i="1" s="1"/>
  <c r="E59" i="1"/>
  <c r="F59" i="1" s="1"/>
  <c r="J59" i="1" s="1"/>
  <c r="I59" i="1" s="1"/>
  <c r="H59" i="1" s="1"/>
  <c r="E11" i="1"/>
  <c r="F11" i="1" s="1"/>
  <c r="J11" i="1" s="1"/>
  <c r="I11" i="1" s="1"/>
  <c r="H11" i="1" s="1"/>
  <c r="G11" i="1" s="1"/>
  <c r="E13" i="1"/>
  <c r="F13" i="1" s="1"/>
  <c r="J13" i="1" s="1"/>
  <c r="I13" i="1" s="1"/>
  <c r="H13" i="1" s="1"/>
  <c r="G13" i="1" s="1"/>
  <c r="E21" i="1"/>
  <c r="F21" i="1" s="1"/>
  <c r="J21" i="1" s="1"/>
  <c r="I21" i="1" s="1"/>
  <c r="H21" i="1" s="1"/>
  <c r="E27" i="1"/>
  <c r="F27" i="1" s="1"/>
  <c r="J27" i="1" s="1"/>
  <c r="I27" i="1" s="1"/>
  <c r="H27" i="1" s="1"/>
  <c r="G27" i="1" s="1"/>
  <c r="E29" i="1"/>
  <c r="F29" i="1" s="1"/>
  <c r="J29" i="1" s="1"/>
  <c r="I29" i="1" s="1"/>
  <c r="H29" i="1" s="1"/>
  <c r="G29" i="1" s="1"/>
  <c r="E62" i="1"/>
  <c r="F62" i="1" s="1"/>
  <c r="J62" i="1" s="1"/>
  <c r="I62" i="1" s="1"/>
  <c r="H62" i="1" s="1"/>
  <c r="E43" i="1"/>
  <c r="F43" i="1" s="1"/>
  <c r="J43" i="1" s="1"/>
  <c r="I43" i="1" s="1"/>
  <c r="H43" i="1" s="1"/>
  <c r="D11" i="7"/>
  <c r="E11" i="7" s="1"/>
  <c r="F11" i="7" s="1"/>
  <c r="J11" i="7" s="1"/>
  <c r="I11" i="7" s="1"/>
  <c r="H11" i="7" s="1"/>
  <c r="G11" i="7" s="1"/>
  <c r="C5" i="4"/>
  <c r="E2" i="4"/>
  <c r="E8" i="9"/>
  <c r="F8" i="9" s="1"/>
  <c r="J8" i="9" s="1"/>
  <c r="I8" i="9" s="1"/>
  <c r="H8" i="9" s="1"/>
  <c r="E11" i="9"/>
  <c r="F11" i="9" s="1"/>
  <c r="J11" i="9" s="1"/>
  <c r="I11" i="9" s="1"/>
  <c r="H11" i="9" s="1"/>
  <c r="G11" i="9" s="1"/>
  <c r="E7" i="9"/>
  <c r="F7" i="9" s="1"/>
  <c r="J7" i="9" s="1"/>
  <c r="E23" i="8"/>
  <c r="F23" i="8" s="1"/>
  <c r="J23" i="8" s="1"/>
  <c r="I23" i="8" s="1"/>
  <c r="H23" i="8" s="1"/>
  <c r="E20" i="8"/>
  <c r="F20" i="8" s="1"/>
  <c r="J20" i="8" s="1"/>
  <c r="I20" i="8" s="1"/>
  <c r="H20" i="8" s="1"/>
  <c r="G20" i="8" s="1"/>
  <c r="E9" i="9"/>
  <c r="F9" i="9" s="1"/>
  <c r="J9" i="9" s="1"/>
  <c r="I9" i="9" s="1"/>
  <c r="D14" i="8"/>
  <c r="E14" i="8" s="1"/>
  <c r="F14" i="8" s="1"/>
  <c r="J14" i="8" s="1"/>
  <c r="I14" i="8" s="1"/>
  <c r="H14" i="8" s="1"/>
  <c r="D28" i="8"/>
  <c r="E28" i="8" s="1"/>
  <c r="F28" i="8" s="1"/>
  <c r="J28" i="8" s="1"/>
  <c r="I28" i="8" s="1"/>
  <c r="H28" i="8" s="1"/>
  <c r="G28" i="8" s="1"/>
  <c r="D9" i="7"/>
  <c r="E9" i="7" s="1"/>
  <c r="F9" i="7" s="1"/>
  <c r="J9" i="7" s="1"/>
  <c r="I9" i="7" s="1"/>
  <c r="H9" i="7" s="1"/>
  <c r="G9" i="7" s="1"/>
  <c r="E6" i="9"/>
  <c r="F6" i="9" s="1"/>
  <c r="J6" i="9" s="1"/>
  <c r="I6" i="9" s="1"/>
  <c r="H6" i="9" s="1"/>
  <c r="G6" i="9" s="1"/>
  <c r="D22" i="8"/>
  <c r="E22" i="8" s="1"/>
  <c r="F22" i="8" s="1"/>
  <c r="J22" i="8" s="1"/>
  <c r="I22" i="8" s="1"/>
  <c r="H22" i="8" s="1"/>
  <c r="E61" i="1"/>
  <c r="F61" i="1" s="1"/>
  <c r="J61" i="1" s="1"/>
  <c r="I61" i="1" s="1"/>
  <c r="H61" i="1" s="1"/>
  <c r="E5" i="9"/>
  <c r="F5" i="9" s="1"/>
  <c r="J5" i="9" s="1"/>
  <c r="I5" i="9" s="1"/>
  <c r="E10" i="9"/>
  <c r="F10" i="9" s="1"/>
  <c r="J10" i="9" s="1"/>
  <c r="E30" i="8"/>
  <c r="F30" i="8" s="1"/>
  <c r="J30" i="8" s="1"/>
  <c r="I30" i="8" s="1"/>
  <c r="H30" i="8" s="1"/>
  <c r="G30" i="8" s="1"/>
  <c r="E29" i="8"/>
  <c r="F29" i="8" s="1"/>
  <c r="J29" i="8" s="1"/>
  <c r="I29" i="8" s="1"/>
  <c r="H29" i="8" s="1"/>
  <c r="E36" i="1"/>
  <c r="F36" i="1" s="1"/>
  <c r="J36" i="1" s="1"/>
  <c r="I36" i="1" s="1"/>
  <c r="H36" i="1" s="1"/>
  <c r="E44" i="1"/>
  <c r="F44" i="1" s="1"/>
  <c r="J44" i="1" s="1"/>
  <c r="I44" i="1" s="1"/>
  <c r="H44" i="1" s="1"/>
  <c r="E20" i="1"/>
  <c r="F20" i="1" s="1"/>
  <c r="J20" i="1" s="1"/>
  <c r="I20" i="1" s="1"/>
  <c r="H20" i="1" s="1"/>
  <c r="E32" i="8"/>
  <c r="F32" i="8" s="1"/>
  <c r="J32" i="8" s="1"/>
  <c r="I32" i="8" s="1"/>
  <c r="H32" i="8" s="1"/>
  <c r="G32" i="8" s="1"/>
  <c r="E12" i="8"/>
  <c r="F12" i="8" s="1"/>
  <c r="J12" i="8" s="1"/>
  <c r="I12" i="8" s="1"/>
  <c r="H12" i="8" s="1"/>
  <c r="G12" i="8" s="1"/>
  <c r="E19" i="8"/>
  <c r="F19" i="8" s="1"/>
  <c r="J19" i="8" s="1"/>
  <c r="I19" i="8" s="1"/>
  <c r="H19" i="8" s="1"/>
  <c r="G19" i="8" s="1"/>
  <c r="E18" i="8"/>
  <c r="F18" i="8" s="1"/>
  <c r="J18" i="8" s="1"/>
  <c r="I18" i="8" s="1"/>
  <c r="H18" i="8" s="1"/>
  <c r="G18" i="8" s="1"/>
  <c r="E9" i="8"/>
  <c r="F9" i="8" s="1"/>
  <c r="J9" i="8" s="1"/>
  <c r="I9" i="8" s="1"/>
  <c r="H9" i="8" s="1"/>
  <c r="G9" i="8" s="1"/>
  <c r="E36" i="8"/>
  <c r="F36" i="8" s="1"/>
  <c r="J36" i="8" s="1"/>
  <c r="I36" i="8" s="1"/>
  <c r="H36" i="8" s="1"/>
  <c r="G36" i="8" s="1"/>
  <c r="E21" i="8"/>
  <c r="F21" i="8" s="1"/>
  <c r="J21" i="8" s="1"/>
  <c r="I21" i="8" s="1"/>
  <c r="H21" i="8" s="1"/>
  <c r="G21" i="8" s="1"/>
  <c r="E17" i="8"/>
  <c r="F17" i="8" s="1"/>
  <c r="J17" i="8" s="1"/>
  <c r="I17" i="8" s="1"/>
  <c r="H17" i="8" s="1"/>
  <c r="E15" i="8"/>
  <c r="F15" i="8" s="1"/>
  <c r="J15" i="8" s="1"/>
  <c r="I15" i="8" s="1"/>
  <c r="H15" i="8" s="1"/>
  <c r="E37" i="8"/>
  <c r="F37" i="8" s="1"/>
  <c r="J37" i="8" s="1"/>
  <c r="I37" i="8" s="1"/>
  <c r="H37" i="8" s="1"/>
  <c r="G37" i="8" s="1"/>
  <c r="E39" i="8"/>
  <c r="F39" i="8" s="1"/>
  <c r="J39" i="8" s="1"/>
  <c r="I39" i="8" s="1"/>
  <c r="H39" i="8" s="1"/>
  <c r="E5" i="1"/>
  <c r="F5" i="1" s="1"/>
  <c r="J5" i="1" s="1"/>
  <c r="I5" i="1" s="1"/>
  <c r="H5" i="1" s="1"/>
  <c r="E34" i="8"/>
  <c r="F34" i="8" s="1"/>
  <c r="J34" i="8" s="1"/>
  <c r="I34" i="8" s="1"/>
  <c r="H34" i="8" s="1"/>
  <c r="G34" i="8" s="1"/>
  <c r="E7" i="8"/>
  <c r="F7" i="8" s="1"/>
  <c r="J7" i="8" s="1"/>
  <c r="E11" i="8"/>
  <c r="F11" i="8" s="1"/>
  <c r="J11" i="8" s="1"/>
  <c r="I11" i="8" s="1"/>
  <c r="H11" i="8" s="1"/>
  <c r="G11" i="8" s="1"/>
  <c r="E25" i="8"/>
  <c r="F25" i="8" s="1"/>
  <c r="J25" i="8" s="1"/>
  <c r="I25" i="8" s="1"/>
  <c r="H25" i="8" s="1"/>
  <c r="G25" i="8" s="1"/>
  <c r="E26" i="8"/>
  <c r="F26" i="8" s="1"/>
  <c r="J26" i="8" s="1"/>
  <c r="E24" i="8"/>
  <c r="F24" i="8" s="1"/>
  <c r="J24" i="8" s="1"/>
  <c r="I24" i="8" s="1"/>
  <c r="H24" i="8" s="1"/>
  <c r="E16" i="8"/>
  <c r="F16" i="8" s="1"/>
  <c r="J16" i="8" s="1"/>
  <c r="I16" i="8" s="1"/>
  <c r="H16" i="8" s="1"/>
  <c r="G16" i="8" s="1"/>
  <c r="E31" i="8"/>
  <c r="F31" i="8" s="1"/>
  <c r="J31" i="8" s="1"/>
  <c r="I31" i="8" s="1"/>
  <c r="H31" i="8" s="1"/>
  <c r="G31" i="8" s="1"/>
  <c r="E5" i="7"/>
  <c r="F5" i="7" s="1"/>
  <c r="J5" i="7" s="1"/>
  <c r="I5" i="7" s="1"/>
  <c r="H5" i="7" s="1"/>
  <c r="J35" i="8"/>
  <c r="I35" i="8" s="1"/>
  <c r="H35" i="8" s="1"/>
  <c r="G35" i="8" s="1"/>
  <c r="E5" i="8"/>
  <c r="F5" i="8" s="1"/>
  <c r="J5" i="8" s="1"/>
  <c r="I5" i="8" s="1"/>
  <c r="H5" i="8" s="1"/>
  <c r="E38" i="8"/>
  <c r="F38" i="8" s="1"/>
  <c r="J38" i="8" s="1"/>
  <c r="I38" i="8" s="1"/>
  <c r="H38" i="8" s="1"/>
  <c r="G38" i="8" s="1"/>
  <c r="E8" i="8"/>
  <c r="F8" i="8" s="1"/>
  <c r="J8" i="8" s="1"/>
  <c r="I8" i="8" s="1"/>
  <c r="H8" i="8" s="1"/>
  <c r="E33" i="8"/>
  <c r="F33" i="8" s="1"/>
  <c r="J33" i="8" s="1"/>
  <c r="I33" i="8" s="1"/>
  <c r="H33" i="8" s="1"/>
  <c r="G33" i="8" s="1"/>
  <c r="E27" i="8"/>
  <c r="F27" i="8" s="1"/>
  <c r="J27" i="8" s="1"/>
  <c r="I27" i="8" s="1"/>
  <c r="H27" i="8" s="1"/>
  <c r="G27" i="8" s="1"/>
  <c r="E10" i="8"/>
  <c r="F10" i="8" s="1"/>
  <c r="J10" i="8" s="1"/>
  <c r="I10" i="8" s="1"/>
  <c r="H10" i="8" s="1"/>
  <c r="G10" i="8" s="1"/>
  <c r="E13" i="8"/>
  <c r="F13" i="8" s="1"/>
  <c r="J13" i="8" s="1"/>
  <c r="I13" i="8" s="1"/>
  <c r="H13" i="8" s="1"/>
  <c r="G13" i="8" s="1"/>
  <c r="E6" i="8"/>
  <c r="F6" i="8" s="1"/>
  <c r="J6" i="8" s="1"/>
  <c r="E10" i="7"/>
  <c r="F10" i="7" s="1"/>
  <c r="J10" i="7" s="1"/>
  <c r="I10" i="7" s="1"/>
  <c r="H10" i="7" s="1"/>
  <c r="G10" i="7" s="1"/>
  <c r="E8" i="7"/>
  <c r="F8" i="7" s="1"/>
  <c r="J8" i="7" s="1"/>
  <c r="E12" i="1"/>
  <c r="F12" i="1" s="1"/>
  <c r="J12" i="1" s="1"/>
  <c r="I12" i="1" s="1"/>
  <c r="H12" i="1" s="1"/>
  <c r="G12" i="1" s="1"/>
  <c r="E6" i="7"/>
  <c r="F6" i="7" s="1"/>
  <c r="J6" i="7" s="1"/>
  <c r="I6" i="7" s="1"/>
  <c r="H6" i="7" s="1"/>
  <c r="G6" i="7" s="1"/>
  <c r="H7" i="5"/>
  <c r="G7" i="5" s="1"/>
  <c r="F7" i="5" s="1"/>
  <c r="J12" i="9"/>
  <c r="I12" i="9" s="1"/>
  <c r="H12" i="9" s="1"/>
  <c r="G12" i="9" s="1"/>
  <c r="H16" i="5"/>
  <c r="G16" i="5" s="1"/>
  <c r="F16" i="5" s="1"/>
  <c r="E16" i="5" s="1"/>
  <c r="H12" i="5"/>
  <c r="G12" i="5" s="1"/>
  <c r="F12" i="5" s="1"/>
  <c r="E12" i="5" s="1"/>
  <c r="H8" i="5"/>
  <c r="G8" i="5" s="1"/>
  <c r="F8" i="5" s="1"/>
  <c r="E8" i="5" s="1"/>
  <c r="H18" i="5"/>
  <c r="G18" i="5" s="1"/>
  <c r="F18" i="5" s="1"/>
  <c r="H10" i="5"/>
  <c r="G10" i="5" s="1"/>
  <c r="F10" i="5" s="1"/>
  <c r="H6" i="5"/>
  <c r="G6" i="5" s="1"/>
  <c r="F6" i="5" s="1"/>
  <c r="H17" i="5"/>
  <c r="G17" i="5" s="1"/>
  <c r="F17" i="5" s="1"/>
  <c r="E17" i="5" s="1"/>
  <c r="J7" i="7"/>
  <c r="I7" i="7" s="1"/>
  <c r="H7" i="7" s="1"/>
  <c r="H11" i="5"/>
  <c r="G11" i="5" s="1"/>
  <c r="F11" i="5" s="1"/>
  <c r="H19" i="5"/>
  <c r="G19" i="5" s="1"/>
  <c r="F19" i="5" s="1"/>
  <c r="H20" i="5"/>
  <c r="G20" i="5" s="1"/>
  <c r="F20" i="5" s="1"/>
  <c r="E20" i="5" s="1"/>
  <c r="H13" i="5"/>
  <c r="G13" i="5" s="1"/>
  <c r="F13" i="5" s="1"/>
  <c r="H9" i="5"/>
  <c r="G9" i="5" s="1"/>
  <c r="F9" i="5" s="1"/>
  <c r="E9" i="5" s="1"/>
  <c r="H5" i="5"/>
  <c r="G5" i="5" s="1"/>
  <c r="F5" i="5" s="1"/>
  <c r="E5" i="5" s="1"/>
  <c r="H14" i="5"/>
  <c r="G14" i="5" s="1"/>
  <c r="F14" i="5" s="1"/>
  <c r="H15" i="5"/>
  <c r="G15" i="5" s="1"/>
  <c r="F15" i="5" s="1"/>
  <c r="G7" i="7" l="1"/>
  <c r="E19" i="5"/>
  <c r="G23" i="8"/>
  <c r="I26" i="8"/>
  <c r="H26" i="8" s="1"/>
  <c r="E7" i="5"/>
  <c r="E18" i="5"/>
  <c r="G17" i="8"/>
  <c r="I6" i="8"/>
  <c r="H6" i="8" s="1"/>
  <c r="I7" i="8"/>
  <c r="H7" i="8" s="1"/>
  <c r="E6" i="5"/>
  <c r="G14" i="8"/>
  <c r="G39" i="8"/>
  <c r="G15" i="8"/>
  <c r="I8" i="7"/>
  <c r="H8" i="7" s="1"/>
  <c r="E10" i="5"/>
  <c r="G8" i="8"/>
  <c r="E13" i="5"/>
  <c r="E11" i="5"/>
  <c r="G22" i="8"/>
  <c r="G5" i="8"/>
  <c r="G5" i="7"/>
  <c r="G24" i="8"/>
  <c r="G5" i="1"/>
  <c r="G43" i="1"/>
  <c r="G36" i="1"/>
  <c r="G29" i="8"/>
  <c r="G30" i="1"/>
  <c r="G8" i="9"/>
  <c r="G15" i="1"/>
  <c r="G23" i="1"/>
  <c r="G21" i="1"/>
  <c r="G44" i="1"/>
  <c r="E14" i="5"/>
  <c r="G33" i="1"/>
  <c r="G59" i="1"/>
  <c r="H9" i="9"/>
  <c r="G9" i="9" s="1"/>
  <c r="H5" i="9"/>
  <c r="G5" i="9" s="1"/>
  <c r="G37" i="1"/>
  <c r="G32" i="1"/>
  <c r="G17" i="1"/>
  <c r="E15" i="5"/>
  <c r="G53" i="1"/>
  <c r="G45" i="1"/>
  <c r="G14" i="1"/>
  <c r="I7" i="9"/>
  <c r="H7" i="9" s="1"/>
  <c r="G25" i="1"/>
  <c r="G24" i="1"/>
  <c r="G61" i="1"/>
  <c r="G26" i="1"/>
  <c r="G20" i="1"/>
  <c r="G18" i="1"/>
  <c r="I10" i="9"/>
  <c r="H10" i="9" s="1"/>
  <c r="G49" i="1"/>
  <c r="G62" i="1"/>
  <c r="G38" i="1"/>
  <c r="G47" i="1"/>
  <c r="G8" i="1"/>
  <c r="G26" i="8" l="1"/>
  <c r="G7" i="8"/>
  <c r="G6" i="8"/>
  <c r="G8" i="7"/>
  <c r="G7" i="9"/>
  <c r="G10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tc={1D68B238-92F3-4BC4-A7D3-0CC078AEFECE}</author>
  </authors>
  <commentList>
    <comment ref="A8" authorId="0" shapeId="0" xr:uid="{1D68B238-92F3-4BC4-A7D3-0CC078AEFE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Por enquanto essa planilha aceita apenas uma única moeda para todas as cidades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<sst xmlns="http://schemas.openxmlformats.org/spreadsheetml/2006/main" count="229" uniqueCount="170">
  <si>
    <t>Burro</t>
  </si>
  <si>
    <t>Cavalo Esgualepado</t>
  </si>
  <si>
    <t>Cavalo Mal Cuidado</t>
  </si>
  <si>
    <t>Cavalo Comum</t>
  </si>
  <si>
    <t>Cavalo de Guerra</t>
  </si>
  <si>
    <t>Cavalo de Raça</t>
  </si>
  <si>
    <t>Cavalo de muita Raça</t>
  </si>
  <si>
    <t>Preço</t>
  </si>
  <si>
    <t>PP</t>
  </si>
  <si>
    <t>PO</t>
  </si>
  <si>
    <t>PC</t>
  </si>
  <si>
    <t>Quanto vale cada moeda?</t>
  </si>
  <si>
    <t>Barra</t>
  </si>
  <si>
    <t>Casas</t>
  </si>
  <si>
    <t>Mod</t>
  </si>
  <si>
    <t>Barraco</t>
  </si>
  <si>
    <t>Casa Pequena</t>
  </si>
  <si>
    <t>Casa Pequena Marginal</t>
  </si>
  <si>
    <t>Casa Pequena Nobre</t>
  </si>
  <si>
    <t>Casa Média Marginal</t>
  </si>
  <si>
    <t>Casa Média</t>
  </si>
  <si>
    <t>Casa Média Nobre</t>
  </si>
  <si>
    <t>Casa Grande Marginal</t>
  </si>
  <si>
    <t>Casa Grande</t>
  </si>
  <si>
    <t>Casa Grande Nobre</t>
  </si>
  <si>
    <t>Mansão</t>
  </si>
  <si>
    <t>Mansão bem Posicionada</t>
  </si>
  <si>
    <t>Torre</t>
  </si>
  <si>
    <t>Castelo Pequeno</t>
  </si>
  <si>
    <t>Castelo Médio</t>
  </si>
  <si>
    <t>Castelo Imenso</t>
  </si>
  <si>
    <t>Mercado</t>
  </si>
  <si>
    <t>Pão</t>
  </si>
  <si>
    <t>Rodela de Queijo</t>
  </si>
  <si>
    <t>Peixe Pequeno</t>
  </si>
  <si>
    <t>Prato Simples</t>
  </si>
  <si>
    <t>Prato Caro</t>
  </si>
  <si>
    <t>Perna de Presunto</t>
  </si>
  <si>
    <t>Sopa</t>
  </si>
  <si>
    <t>Carreteiro</t>
  </si>
  <si>
    <t>Carne Seca</t>
  </si>
  <si>
    <t>Espetinho de Gato</t>
  </si>
  <si>
    <t>Saco de Batatas</t>
  </si>
  <si>
    <t>Peixe Médio</t>
  </si>
  <si>
    <t>Salmão</t>
  </si>
  <si>
    <t>Peixe Grande</t>
  </si>
  <si>
    <t>Cafezinho</t>
  </si>
  <si>
    <t>Lista de Mercado</t>
  </si>
  <si>
    <t>Galinha Assada</t>
  </si>
  <si>
    <t>Duzia de Ovos</t>
  </si>
  <si>
    <t>Alface</t>
  </si>
  <si>
    <t>Caneca de Cerveja</t>
  </si>
  <si>
    <t>Caneca de Hidromel</t>
  </si>
  <si>
    <t>Caneca de Leite</t>
  </si>
  <si>
    <t>Caneca de Capil</t>
  </si>
  <si>
    <t>Garrafa de Capil</t>
  </si>
  <si>
    <t>Garrafa de Vinho</t>
  </si>
  <si>
    <t>Garrafa de Vinho Nobre</t>
  </si>
  <si>
    <t>Shot de Pinga</t>
  </si>
  <si>
    <t>Copo de Suco</t>
  </si>
  <si>
    <t>Garrafa de Suco</t>
  </si>
  <si>
    <t>Bombom</t>
  </si>
  <si>
    <t>Maça do Amor</t>
  </si>
  <si>
    <t>Sorvete</t>
  </si>
  <si>
    <t>Garrafa de Rum</t>
  </si>
  <si>
    <t>Sorvete Pote</t>
  </si>
  <si>
    <t>Shot de Rum</t>
  </si>
  <si>
    <t>Shot de Vodka</t>
  </si>
  <si>
    <t>Shot de Gim</t>
  </si>
  <si>
    <t>Chocolate</t>
  </si>
  <si>
    <t>Chá</t>
  </si>
  <si>
    <t>Garrafa de Pinga</t>
  </si>
  <si>
    <t>Garrafa de Graspa</t>
  </si>
  <si>
    <t>Garrafa de Whisky</t>
  </si>
  <si>
    <t>Shot de Whisky</t>
  </si>
  <si>
    <t>Garrafa de Gim</t>
  </si>
  <si>
    <t>Pote de Mel</t>
  </si>
  <si>
    <t>Geléia</t>
  </si>
  <si>
    <t>Goiabada</t>
  </si>
  <si>
    <t>Perna de Salame</t>
  </si>
  <si>
    <t>Punhado de Balas</t>
  </si>
  <si>
    <t>Fatia de Bolo Nobre</t>
  </si>
  <si>
    <t>Bolo Nobre</t>
  </si>
  <si>
    <t>Fatia de Bolo Comum</t>
  </si>
  <si>
    <t>Bolo Comum</t>
  </si>
  <si>
    <t>Pernoite Bom</t>
  </si>
  <si>
    <t>Vestido Aldeão Caro</t>
  </si>
  <si>
    <t>Vestido Nobre Caro</t>
  </si>
  <si>
    <t>Túnica Nobre</t>
  </si>
  <si>
    <t>Botas Nobres</t>
  </si>
  <si>
    <t>Roupas Íntimas</t>
  </si>
  <si>
    <t xml:space="preserve"> </t>
  </si>
  <si>
    <t>Número de Cidades</t>
  </si>
  <si>
    <t>Mod Import</t>
  </si>
  <si>
    <t>Mod Export</t>
  </si>
  <si>
    <t>Número dessa Cidade</t>
  </si>
  <si>
    <t>Nova Bretânia</t>
  </si>
  <si>
    <t>Cidade</t>
  </si>
  <si>
    <t>Caminho E</t>
  </si>
  <si>
    <t>Caminho I</t>
  </si>
  <si>
    <t>CONFIGURAÇÕES</t>
  </si>
  <si>
    <t>MOEDA (Universal)</t>
  </si>
  <si>
    <t>CIDADE:</t>
  </si>
  <si>
    <t>Lista de Cidades</t>
  </si>
  <si>
    <t>Arkma</t>
  </si>
  <si>
    <t>Vila Lór</t>
  </si>
  <si>
    <t>Mod Importação</t>
  </si>
  <si>
    <t>Variação Local</t>
  </si>
  <si>
    <t>Importa de</t>
  </si>
  <si>
    <t>Mod Final</t>
  </si>
  <si>
    <t>Mod Controle</t>
  </si>
  <si>
    <t>Mod Rand</t>
  </si>
  <si>
    <t>Mod Controle Final</t>
  </si>
  <si>
    <t>Preço Base</t>
  </si>
  <si>
    <t>Andíl</t>
  </si>
  <si>
    <t>Faristéia</t>
  </si>
  <si>
    <t>Lista de Casas</t>
  </si>
  <si>
    <t>Clava Malfeita</t>
  </si>
  <si>
    <t>Machado Cego Enferrujado</t>
  </si>
  <si>
    <t>Espada Precária Enferrujada</t>
  </si>
  <si>
    <t>Clava</t>
  </si>
  <si>
    <t>Espada</t>
  </si>
  <si>
    <t>Machado</t>
  </si>
  <si>
    <t>Maça</t>
  </si>
  <si>
    <t>Alabarda</t>
  </si>
  <si>
    <t>Cota de Malha</t>
  </si>
  <si>
    <t>Cimitarra</t>
  </si>
  <si>
    <t>Nesmé</t>
  </si>
  <si>
    <t>Armadura de Placas Completa</t>
  </si>
  <si>
    <t>Lorica de Couro</t>
  </si>
  <si>
    <t>Lorica de Escamas</t>
  </si>
  <si>
    <t>Gambeson</t>
  </si>
  <si>
    <t>Brigandina</t>
  </si>
  <si>
    <t>Espada Bastarda</t>
  </si>
  <si>
    <t>Espada Montante</t>
  </si>
  <si>
    <t>Chicote de Couro</t>
  </si>
  <si>
    <t>Chicote de Cavalo</t>
  </si>
  <si>
    <t>Lança</t>
  </si>
  <si>
    <t>Arco Curto</t>
  </si>
  <si>
    <t>Arco Médio</t>
  </si>
  <si>
    <t>Arco Longo</t>
  </si>
  <si>
    <t>Arco Recurvo</t>
  </si>
  <si>
    <t>Arco Composto</t>
  </si>
  <si>
    <t>Besta Curta</t>
  </si>
  <si>
    <t>Besta Média</t>
  </si>
  <si>
    <t>Besta Pesada</t>
  </si>
  <si>
    <t>Besta: 24x Virotes</t>
  </si>
  <si>
    <t>Arco: 24x Flechas</t>
  </si>
  <si>
    <t>Arco: Aljava</t>
  </si>
  <si>
    <t>Arco: 24x Flechas Perfurantes</t>
  </si>
  <si>
    <t>Mochila</t>
  </si>
  <si>
    <t>Sacola</t>
  </si>
  <si>
    <t>Mochila Grande</t>
  </si>
  <si>
    <t>Caminho:</t>
  </si>
  <si>
    <t>Nome da Pasta:</t>
  </si>
  <si>
    <t>Cidades</t>
  </si>
  <si>
    <t>Caminho Final:</t>
  </si>
  <si>
    <t>Planilha Controle:</t>
  </si>
  <si>
    <t>Controle.xlsm</t>
  </si>
  <si>
    <t>Refeição Simples</t>
  </si>
  <si>
    <t>Refeição Comum</t>
  </si>
  <si>
    <t>Refeição Luxuosa</t>
  </si>
  <si>
    <t>Pousada Pobre</t>
  </si>
  <si>
    <t>Pousada Comum</t>
  </si>
  <si>
    <t>Pousada Luxuosa</t>
  </si>
  <si>
    <t>Carroça Dentroda Cidade</t>
  </si>
  <si>
    <t>Guarda-costas</t>
  </si>
  <si>
    <t>Desenvolvida por Taberna da Maçã Envenenada</t>
  </si>
  <si>
    <t>D:\Users\Matheus\Documents\RPG\Taberna Maça Envenenada\Aventuras Prontas\Medieval\Novo Continente\Mercado v1.0.0.02\Cidades</t>
  </si>
  <si>
    <t>v 1.0.0.03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</si>
</sst>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4" fontId="1" fillId="0" borderId="0" xfId="0" applyNumberFormat="1" applyFont="1"/>
    <xf numFmtId="0" fontId="0" fillId="0" borderId="0" xfId="0" applyNumberFormat="1"/>
    <xf numFmtId="2" fontId="0" fillId="0" borderId="0" xfId="0" applyNumberFormat="1"/>
    <xf numFmtId="0" fontId="1" fillId="0" borderId="0" xfId="0" applyNumberFormat="1" applyFont="1"/>
    <xf numFmtId="0" fontId="0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2" fontId="5" fillId="0" borderId="0" xfId="0" applyNumberFormat="1" applyFont="1" applyBorder="1"/>
    <xf numFmtId="4" fontId="5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0" fontId="6" fillId="0" borderId="1" xfId="0" applyFont="1" applyBorder="1" applyAlignment="1">
      <alignment horizontal="right"/>
    </xf>
    <xf numFmtId="0" fontId="7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2" borderId="0" xfId="0" applyFont="1" applyFill="1"/>
    <xf numFmtId="0" fontId="1" fillId="2" borderId="0" xfId="0" applyNumberFormat="1" applyFont="1" applyFill="1"/>
    <xf numFmtId="4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4" fillId="0" borderId="2" xfId="0" applyFont="1" applyBorder="1"/>
    <xf numFmtId="0" fontId="5" fillId="0" borderId="3" xfId="0" applyFont="1" applyBorder="1"/>
    <xf numFmtId="0" fontId="5" fillId="0" borderId="4" xfId="0" applyFont="1" applyBorder="1"/>
    <xf numFmtId="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4" fontId="1" fillId="3" borderId="0" xfId="0" applyNumberFormat="1" applyFont="1" applyFill="1"/>
    <xf numFmtId="0" fontId="8" fillId="0" borderId="0" xfId="0" applyFont="1"/>
    <xf numFmtId="4" fontId="5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Normal" xfId="0" builtinId="0"/>
  </cellStyles>
  <dxfs count="28"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linktr.ee/taberna.maca.envenenad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</xdr:colOff>
      <xdr:row>2</xdr:row>
      <xdr:rowOff>83820</xdr:rowOff>
    </xdr:from>
    <xdr:to>
      <xdr:col>8</xdr:col>
      <xdr:colOff>525780</xdr:colOff>
      <xdr:row>8</xdr:row>
      <xdr:rowOff>60960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28849-E57C-4C7A-B198-BA899F24C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360" y="449580"/>
          <a:ext cx="1074420" cy="10744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/Documents/RPG/Taberna%20Ma&#231;a%20Envenenada/Aventuras%20Prontas/Medieval/Novo%20Continente/Mercado%20v1.0.0.02/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Relações"/>
    </sheetNames>
    <sheetDataSet>
      <sheetData sheetId="0">
        <row r="28">
          <cell r="A28">
            <v>6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Feron" id="{ADAA20B4-E34D-47DE-B7F1-F698C08343FA}" userId="9f4a3a477dfcc4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0C5835-6470-43D4-9AC7-62DCE064BF46}" name="Tabela1" displayName="Tabela1" ref="A4:J62" totalsRowShown="0" headerRowDxfId="27">
  <autoFilter ref="A4:J62" xr:uid="{3993F4D9-F55F-4E59-BA68-BD50956F1C92}"/>
  <sortState xmlns:xlrd2="http://schemas.microsoft.com/office/spreadsheetml/2017/richdata2" ref="A5:J56">
    <sortCondition ref="A4:A56"/>
  </sortState>
  <tableColumns count="10">
    <tableColumn id="1" xr3:uid="{BF235685-896B-43EB-A3DB-F1A708E00D03}" name="Lista de Mercado"/>
    <tableColumn id="2" xr3:uid="{EB951C24-C267-46A0-9060-BE71F02599CE}" name="Mod" dataDxfId="26"/>
    <tableColumn id="13" xr3:uid="{48F052B2-CC7D-45EC-8EDD-88B9CD028B61}" name="Importa de" dataDxfId="25"/>
    <tableColumn id="12" xr3:uid="{BA1F0074-DC16-4DB1-82E0-4DAF4FDC8A63}" name="Mod Importação" dataDxfId="0">
      <calculatedColumnFormula array="1">PROCIMPORT(Tabela1[[#This Row],[Importa de]])</calculatedColumnFormula>
    </tableColumn>
    <tableColumn id="16" xr3:uid="{319299FA-CB72-41FF-B776-37AAB1D8951A}" name="Mod Final" dataDxfId="24">
      <calculatedColumnFormula>Tabela1[[#This Row],[Mod]]*IF(Tabela1[[#This Row],[Mod Importação]]="",1,Tabela1[[#This Row],[Mod Importação]])*$G$1</calculatedColumnFormula>
    </tableColumn>
    <tableColumn id="14" xr3:uid="{2896EA16-E14B-4C01-914F-0A21B4AE38D6}" name="Preço" dataDxfId="23">
      <calculatedColumnFormula>$B$2*EXP($B$3*Tabela1[[#This Row],[Mod Final]])/EXP($B$3)</calculatedColumnFormula>
    </tableColumn>
    <tableColumn id="4" xr3:uid="{500945F6-29F1-4214-A326-1D899C503132}" name="PC">
      <calculatedColumnFormula>ROUNDDOWN(F5 - (J5*CONFIG!$E$12 + CONFIG!$D$12*I5 + CONFIG!$C$12*H5)/CONFIG!$B$11,0)</calculatedColumnFormula>
    </tableColumn>
    <tableColumn id="5" xr3:uid="{19E1B763-4CE2-4C67-B2EE-C693B3892F74}" name="PP">
      <calculatedColumnFormula>ROUNDDOWN((F5- (I5*CONFIG!$D$12 + J5*CONFIG!$E$12))/CONFIG!$C$11,0)</calculatedColumnFormula>
    </tableColumn>
    <tableColumn id="6" xr3:uid="{2949A054-E7FD-4569-8DA0-FF96CA0647C5}" name="PO">
      <calculatedColumnFormula>ROUNDDOWN((F5 - J5*CONFIG!$E$12)/CONFIG!$D$12,0)</calculatedColumnFormula>
    </tableColumn>
    <tableColumn id="7" xr3:uid="{015DDBFC-8980-4F5B-B879-F2EA023CF85C}" name="Barra">
      <calculatedColumnFormula>ROUNDDOWN(F5/CONFIG!$E$12,0)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70544B-9E92-4C7E-A6A8-6BA09997018F}" name="Tabela135" displayName="Tabela135" ref="A4:J39" totalsRowShown="0" headerRowDxfId="22">
  <autoFilter ref="A4:J39" xr:uid="{3993F4D9-F55F-4E59-BA68-BD50956F1C92}"/>
  <sortState xmlns:xlrd2="http://schemas.microsoft.com/office/spreadsheetml/2017/richdata2" ref="A5:J36">
    <sortCondition ref="A4:A36"/>
  </sortState>
  <tableColumns count="10">
    <tableColumn id="1" xr3:uid="{E32A8C61-05CA-411C-9B92-D53B35B812BD}" name="Lista de Mercado"/>
    <tableColumn id="2" xr3:uid="{DD60C8FE-6D5E-424C-8AFE-605A05C3771B}" name="Mod" dataDxfId="21"/>
    <tableColumn id="13" xr3:uid="{D9632FAA-0895-4FF7-9A8A-82678D063E0E}" name="Importa de" dataDxfId="20"/>
    <tableColumn id="12" xr3:uid="{FE2BECD3-A268-43EB-93C7-186C7BAD8822}" name="Mod Importação" dataDxfId="19">
      <calculatedColumnFormula>IF(Tabela135[[#This Row],[Importa de]]="","",LOOKUP(Tabela135[[#This Row],[Importa de]],_xlfn.ANCHORARRAY(Relações!$A$2),Relações!$C$2:$C$53))</calculatedColumnFormula>
    </tableColumn>
    <tableColumn id="16" xr3:uid="{0DCCED83-3C19-4457-9F92-50106BD2DC65}" name="Mod Final" dataDxfId="18">
      <calculatedColumnFormula>Tabela135[[#This Row],[Mod]]*IF(Tabela135[[#This Row],[Mod Importação]]="",1,Tabela135[[#This Row],[Mod Importação]])*$G$1</calculatedColumnFormula>
    </tableColumn>
    <tableColumn id="14" xr3:uid="{DA2D2A40-6208-461D-958C-4D453935E868}" name="Preço" dataDxfId="17">
      <calculatedColumnFormula>$B$2*EXP($B$3*Tabela135[[#This Row],[Mod Final]])/EXP($B$3)</calculatedColumnFormula>
    </tableColumn>
    <tableColumn id="4" xr3:uid="{76D4EFE0-8D57-42D5-949B-30C728E51D7F}" name="PC">
      <calculatedColumnFormula>ROUNDDOWN(F5 - (J5*CONFIG!$E$12 + CONFIG!$D$12*I5 + CONFIG!$C$12*H5)/CONFIG!$B$11,0)</calculatedColumnFormula>
    </tableColumn>
    <tableColumn id="5" xr3:uid="{3B76F5FC-0E0B-4F47-964B-1F2FFEA5BEB4}" name="PP">
      <calculatedColumnFormula>ROUNDDOWN((F5- (I5*CONFIG!$D$12 + J5*CONFIG!$E$12))/CONFIG!$C$11,0)</calculatedColumnFormula>
    </tableColumn>
    <tableColumn id="6" xr3:uid="{D4A565A1-DC3C-4696-9508-89940F0F8B9B}" name="PO">
      <calculatedColumnFormula>ROUNDDOWN((F5 - J5*CONFIG!$E$12)/CONFIG!$D$12,0)</calculatedColumnFormula>
    </tableColumn>
    <tableColumn id="7" xr3:uid="{7C56A8FA-15BF-4C0E-A941-D757108D747B}" name="Barra">
      <calculatedColumnFormula>ROUNDDOWN(F5/CONFIG!$E$12,0)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1811A3-514C-4A24-8105-2A2AB3C4381B}" name="Tabela13" displayName="Tabela13" ref="A4:J11" totalsRowShown="0" headerRowDxfId="10">
  <autoFilter ref="A4:J11" xr:uid="{3993F4D9-F55F-4E59-BA68-BD50956F1C92}"/>
  <sortState xmlns:xlrd2="http://schemas.microsoft.com/office/spreadsheetml/2017/richdata2" ref="A5:J56">
    <sortCondition ref="A4:A56"/>
  </sortState>
  <tableColumns count="10">
    <tableColumn id="1" xr3:uid="{E93FE452-4F0D-4B00-99F8-AE3569FFBB6C}" name="Lista de Mercado"/>
    <tableColumn id="2" xr3:uid="{BEBDDF28-F6A1-4D60-8B95-09D2505ACC87}" name="Mod" dataDxfId="9"/>
    <tableColumn id="13" xr3:uid="{6A26402F-308C-4417-BBE5-054F15E50443}" name="Importa de" dataDxfId="8"/>
    <tableColumn id="12" xr3:uid="{D9B2D092-36C7-475A-815F-83D6E881762E}" name="Mod Importação" dataDxfId="7">
      <calculatedColumnFormula>IF(Tabela13[[#This Row],[Importa de]]="","",LOOKUP(Tabela13[[#This Row],[Importa de]],_xlfn.ANCHORARRAY(Relações!$A$2),Relações!$C$2:$C$53))</calculatedColumnFormula>
    </tableColumn>
    <tableColumn id="16" xr3:uid="{BF0F42A6-CB52-4263-A89B-83E15B172EAD}" name="Mod Final" dataDxfId="6">
      <calculatedColumnFormula>Tabela13[[#This Row],[Mod]]*IF(Tabela13[[#This Row],[Mod Importação]]="",1,Tabela13[[#This Row],[Mod Importação]])*$G$1</calculatedColumnFormula>
    </tableColumn>
    <tableColumn id="14" xr3:uid="{4AC1ECB7-B7C5-45EE-B992-FB3A7D378826}" name="Preço" dataDxfId="5">
      <calculatedColumnFormula>$B$2*EXP($B$3*Tabela13[[#This Row],[Mod Final]])/EXP($B$3)</calculatedColumnFormula>
    </tableColumn>
    <tableColumn id="4" xr3:uid="{648FEA11-D202-4A77-A360-D0BF1AAF55BB}" name="PC">
      <calculatedColumnFormula>ROUNDDOWN(F5 - (J5*CONFIG!$E$12 + CONFIG!$D$12*I5 + CONFIG!$C$12*H5)/CONFIG!$B$11,0)</calculatedColumnFormula>
    </tableColumn>
    <tableColumn id="5" xr3:uid="{9F5D6BC0-BE3F-4F06-BAEA-1B11D0143CA5}" name="PP">
      <calculatedColumnFormula>ROUNDDOWN((F5- (I5*CONFIG!$D$12 + J5*CONFIG!$E$12))/CONFIG!$C$11,0)</calculatedColumnFormula>
    </tableColumn>
    <tableColumn id="6" xr3:uid="{9E4FDE68-1D18-4B2D-BE66-832F5A08EC31}" name="PO">
      <calculatedColumnFormula>ROUNDDOWN((F5 - J5*CONFIG!$E$12)/CONFIG!$D$12,0)</calculatedColumnFormula>
    </tableColumn>
    <tableColumn id="7" xr3:uid="{86CA416E-CE20-46CD-85EC-A93DCFDD9574}" name="Barra">
      <calculatedColumnFormula>ROUNDDOWN(F5/CONFIG!$E$12,0)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59B702-48D6-459B-B995-47DFC4E9414F}" name="Tabela136" displayName="Tabela136" ref="A4:J12" totalsRowShown="0" headerRowDxfId="16">
  <autoFilter ref="A4:J12" xr:uid="{3993F4D9-F55F-4E59-BA68-BD50956F1C92}"/>
  <sortState xmlns:xlrd2="http://schemas.microsoft.com/office/spreadsheetml/2017/richdata2" ref="A5:J11">
    <sortCondition ref="A4:A11"/>
  </sortState>
  <tableColumns count="10">
    <tableColumn id="1" xr3:uid="{ABD46825-74D5-46FD-85A5-2B1DBE3C1DA6}" name="Lista de Mercado"/>
    <tableColumn id="2" xr3:uid="{8F387AE4-E1FC-47C4-8E79-45725E9D25B1}" name="Mod" dataDxfId="15"/>
    <tableColumn id="13" xr3:uid="{8A4A59CE-4E64-4958-B252-B4B359DF2578}" name="Importa de" dataDxfId="14"/>
    <tableColumn id="12" xr3:uid="{9DA7CA01-187C-4E06-A975-AA3CFDE4E0A1}" name="Mod Importação" dataDxfId="13">
      <calculatedColumnFormula>IF(Tabela136[[#This Row],[Importa de]]="","",LOOKUP(Tabela136[[#This Row],[Importa de]],_xlfn.ANCHORARRAY(Relações!$A$2),Relações!$C$2:$C$53))</calculatedColumnFormula>
    </tableColumn>
    <tableColumn id="16" xr3:uid="{BA5FCC38-31C6-4CD2-9193-04877B5CCF3B}" name="Mod Final" dataDxfId="12">
      <calculatedColumnFormula>Tabela136[[#This Row],[Mod]]*IF(Tabela136[[#This Row],[Mod Importação]]="",1,Tabela136[[#This Row],[Mod Importação]])*$G$1</calculatedColumnFormula>
    </tableColumn>
    <tableColumn id="14" xr3:uid="{5BAE4CFD-8470-4CC2-A9C8-F8AA1CD852CC}" name="Preço" dataDxfId="11">
      <calculatedColumnFormula>$B$2*EXP($B$3*Tabela136[[#This Row],[Mod Final]])/EXP($B$3)</calculatedColumnFormula>
    </tableColumn>
    <tableColumn id="4" xr3:uid="{0083E98C-9CDF-4332-8A7D-D53B257A8BD5}" name="PC">
      <calculatedColumnFormula>ROUNDDOWN(F5 - (J5*CONFIG!$E$12 + CONFIG!$D$12*I5 + CONFIG!$C$12*H5)/CONFIG!$B$11,0)</calculatedColumnFormula>
    </tableColumn>
    <tableColumn id="5" xr3:uid="{89447EE5-5876-4833-8864-9BF5D95EB655}" name="PP">
      <calculatedColumnFormula>ROUNDDOWN((F5- (I5*CONFIG!$D$12 + J5*CONFIG!$E$12))/CONFIG!$C$11,0)</calculatedColumnFormula>
    </tableColumn>
    <tableColumn id="6" xr3:uid="{736AC66F-C74D-4EFD-BCCE-DC1099A5655A}" name="PO">
      <calculatedColumnFormula>ROUNDDOWN((F5 - J5*CONFIG!$E$12)/CONFIG!$D$12,0)</calculatedColumnFormula>
    </tableColumn>
    <tableColumn id="7" xr3:uid="{422B85BB-ED50-47B3-BB5E-F97642B2AAD1}" name="Barra">
      <calculatedColumnFormula>ROUNDDOWN(F5/CONFIG!$E$12,0)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7828A2-E2A1-42C2-AEDA-44165729C1B9}" name="Tabela3" displayName="Tabela3" ref="A4:H20" totalsRowShown="0" headerRowDxfId="4">
  <autoFilter ref="A4:H20" xr:uid="{097828A2-E2A1-42C2-AEDA-44165729C1B9}"/>
  <tableColumns count="8">
    <tableColumn id="1" xr3:uid="{24504AFD-677D-4F47-A687-83A38907C784}" name="Lista de Casas"/>
    <tableColumn id="2" xr3:uid="{0B453290-4A9F-4492-BE79-AA98FFFCA27F}" name="Mod" dataDxfId="3"/>
    <tableColumn id="8" xr3:uid="{53F07631-AA12-454B-8D6B-32A22C47E30D}" name="Mod Final" dataDxfId="2">
      <calculatedColumnFormula>Tabela3[[#This Row],[Mod]]*$G$1</calculatedColumnFormula>
    </tableColumn>
    <tableColumn id="3" xr3:uid="{E1C563A1-9678-4FB7-9423-EF03EE681AA3}" name="Preço" dataDxfId="1">
      <calculatedColumnFormula>$B$2*EXP($B$3*Tabela3[[#This Row],[Mod Final]])/EXP($B$3)</calculatedColumnFormula>
    </tableColumn>
    <tableColumn id="4" xr3:uid="{80CF30BE-43A9-4EE9-A396-56F3DF800B6C}" name="PC">
      <calculatedColumnFormula>ROUNDDOWN(D5 - (H5*CONFIG!$E$12 + CONFIG!$D$12*G5 + CONFIG!$C$12*F5)/CONFIG!$B$11,0)</calculatedColumnFormula>
    </tableColumn>
    <tableColumn id="5" xr3:uid="{4E072AE6-CC7D-4BB4-89BB-4E237FCFD7ED}" name="PP">
      <calculatedColumnFormula>ROUNDDOWN((D5- (G5*CONFIG!$D$12 + H5*CONFIG!$E$12))/CONFIG!$C$11,0)</calculatedColumnFormula>
    </tableColumn>
    <tableColumn id="6" xr3:uid="{86512461-8156-4269-921C-B72E7CB301C4}" name="PO">
      <calculatedColumnFormula>ROUNDDOWN((D5 - H5*CONFIG!$E$12)/CONFIG!$D$12,0)</calculatedColumnFormula>
    </tableColumn>
    <tableColumn id="7" xr3:uid="{3D62D6DF-CD87-4636-AE97-6AEEAF29629A}" name="Barra">
      <calculatedColumnFormula>ROUNDDOWN(D5/CONFIG!$E$12,0)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8" dT="2021-10-19T17:17:40.46" personId="{ADAA20B4-E34D-47DE-B7F1-F698C08343FA}" id="{1D68B238-92F3-4BC4-A7D3-0CC078AEFECE}">
    <text>Por enquanto essa planilha aceita apenas uma única moeda para todas as cidades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65DC9-C8C9-4C66-A28F-00B94DA75A16}">
  <sheetPr codeName="Planilha1">
    <tabColor theme="4" tint="0.79998168889431442"/>
  </sheetPr>
  <dimension ref="A1:L62"/>
  <sheetViews>
    <sheetView tabSelected="1" workbookViewId="0">
      <selection activeCell="M14" sqref="M14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110</v>
      </c>
      <c r="G1" s="14">
        <f ca="1">CONFIG!D4</f>
        <v>1.2012100000167265</v>
      </c>
    </row>
    <row r="2" spans="1:12" x14ac:dyDescent="0.3">
      <c r="A2" t="s">
        <v>113</v>
      </c>
      <c r="B2" s="6">
        <v>1</v>
      </c>
      <c r="C2"/>
    </row>
    <row r="3" spans="1:12" x14ac:dyDescent="0.3">
      <c r="A3" t="s">
        <v>107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108</v>
      </c>
      <c r="D4" s="25" t="s">
        <v>106</v>
      </c>
      <c r="E4" s="25" t="s">
        <v>109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50</v>
      </c>
      <c r="B5" s="5">
        <v>1</v>
      </c>
      <c r="C5" s="11"/>
      <c r="D5" s="11" t="str" cm="1">
        <f t="array" aca="1" ref="D5" ca="1">PROCIMPORT(Tabela1[[#This Row],[Importa de]])</f>
        <v/>
      </c>
      <c r="E5" s="11">
        <f ca="1">Tabela1[[#This Row],[Mod]]*IF(Tabela1[[#This Row],[Mod Importação]]="",1,Tabela1[[#This Row],[Mod Importação]])*$G$1</f>
        <v>1.2012100000167265</v>
      </c>
      <c r="F5" s="2">
        <f ca="1">$B$2*EXP($B$3*Tabela1[[#This Row],[Mod Final]])/EXP($B$3)</f>
        <v>1.2228815500066281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0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84</v>
      </c>
      <c r="B6" s="5">
        <v>5.3</v>
      </c>
      <c r="C6" s="11"/>
      <c r="D6" s="11" t="str" cm="1">
        <f t="array" aca="1" ref="D6" ca="1">PROCIMPORT(Tabela1[[#This Row],[Importa de]])</f>
        <v/>
      </c>
      <c r="E6" s="11">
        <f ca="1">Tabela1[[#This Row],[Mod]]*IF(Tabela1[[#This Row],[Mod Importação]]="",1,Tabela1[[#This Row],[Mod Importação]])*$G$1</f>
        <v>6.3664130000886505</v>
      </c>
      <c r="F6" s="2">
        <f ca="1">$B$2*EXP($B$3*Tabela1[[#This Row],[Mod Final]])/EXP($B$3)</f>
        <v>214.09353523955804</v>
      </c>
      <c r="G6">
        <f ca="1">ROUNDDOWN(F6 - (J6*CONFIG!$E$12 + CONFIG!$D$12*I6 + CONFIG!$C$12*H6)/CONFIG!$B$11,0)</f>
        <v>14</v>
      </c>
      <c r="H6">
        <f ca="1">ROUNDDOWN((F6- (I6*CONFIG!$D$12 + J6*CONFIG!$E$12))/CONFIG!$C$11,0)</f>
        <v>10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82</v>
      </c>
      <c r="B7" s="5">
        <v>7</v>
      </c>
      <c r="C7" s="11"/>
      <c r="D7" s="11" t="str" cm="1">
        <f t="array" aca="1" ref="D7" ca="1">PROCIMPORT(Tabela1[[#This Row],[Importa de]])</f>
        <v/>
      </c>
      <c r="E7" s="11">
        <f ca="1">Tabela1[[#This Row],[Mod]]*IF(Tabela1[[#This Row],[Mod Importação]]="",1,Tabela1[[#This Row],[Mod Importação]])*$G$1</f>
        <v>8.4084700001170862</v>
      </c>
      <c r="F7" s="2">
        <f ca="1">$B$2*EXP($B$3*Tabela1[[#This Row],[Mod Final]])/EXP($B$3)</f>
        <v>1649.9000678433738</v>
      </c>
      <c r="G7">
        <f ca="1">ROUNDDOWN(F7 - (J7*CONFIG!$E$12 + CONFIG!$D$12*I7 + CONFIG!$C$12*H7)/CONFIG!$B$11,0)</f>
        <v>9</v>
      </c>
      <c r="H7">
        <f ca="1">ROUNDDOWN((F7- (I7*CONFIG!$D$12 + J7*CONFIG!$E$12))/CONFIG!$C$11,0)</f>
        <v>2</v>
      </c>
      <c r="I7">
        <f ca="1">ROUNDDOWN((F7 - J7*CONFIG!$E$12)/CONFIG!$D$12,0)</f>
        <v>4</v>
      </c>
      <c r="J7">
        <f ca="1">ROUNDDOWN(F7/CONFIG!$E$12,0)</f>
        <v>0</v>
      </c>
      <c r="L7" t="s">
        <v>91</v>
      </c>
    </row>
    <row r="8" spans="1:12" x14ac:dyDescent="0.3">
      <c r="A8" t="s">
        <v>61</v>
      </c>
      <c r="B8" s="5">
        <v>6</v>
      </c>
      <c r="C8" s="11"/>
      <c r="D8" s="11" t="str" cm="1">
        <f t="array" aca="1" ref="D8" ca="1">PROCIMPORT(Tabela1[[#This Row],[Importa de]])</f>
        <v/>
      </c>
      <c r="E8" s="11">
        <f ca="1">Tabela1[[#This Row],[Mod]]*IF(Tabela1[[#This Row],[Mod Importação]]="",1,Tabela1[[#This Row],[Mod Importação]])*$G$1</f>
        <v>7.2072600001003586</v>
      </c>
      <c r="F8" s="2">
        <f ca="1">$B$2*EXP($B$3*Tabela1[[#This Row],[Mod Final]])/EXP($B$3)</f>
        <v>496.33941647386428</v>
      </c>
      <c r="G8">
        <f ca="1">ROUNDDOWN(F8 - (J8*CONFIG!$E$12 + CONFIG!$D$12*I8 + CONFIG!$C$12*H8)/CONFIG!$B$11,0)</f>
        <v>16</v>
      </c>
      <c r="H8">
        <f ca="1">ROUNDDOWN((F8- (I8*CONFIG!$D$12 + J8*CONFIG!$E$12))/CONFIG!$C$11,0)</f>
        <v>4</v>
      </c>
      <c r="I8">
        <f ca="1">ROUNDDOWN((F8 - J8*CONFIG!$E$12)/CONFIG!$D$12,0)</f>
        <v>1</v>
      </c>
      <c r="J8">
        <f ca="1">ROUNDDOWN(F8/CONFIG!$E$12,0)</f>
        <v>0</v>
      </c>
    </row>
    <row r="9" spans="1:12" x14ac:dyDescent="0.3">
      <c r="A9" t="s">
        <v>46</v>
      </c>
      <c r="B9" s="5">
        <v>2</v>
      </c>
      <c r="C9" s="11" t="s">
        <v>105</v>
      </c>
      <c r="D9" s="11" t="str" cm="1">
        <f t="array" aca="1" ref="D9" ca="1">PROCIMPORT(Tabela1[[#This Row],[Importa de]])</f>
        <v>1,05</v>
      </c>
      <c r="E9" s="11">
        <f ca="1">Tabela1[[#This Row],[Mod]]*IF(Tabela1[[#This Row],[Mod Importação]]="",1,Tabela1[[#This Row],[Mod Importação]])*$G$1</f>
        <v>2.5225410000351256</v>
      </c>
      <c r="F9" s="2">
        <f ca="1">$B$2*EXP($B$3*Tabela1[[#This Row],[Mod Final]])/EXP($B$3)</f>
        <v>4.5838579927340577</v>
      </c>
      <c r="G9">
        <f ca="1">ROUNDDOWN(F9 - (J9*CONFIG!$E$12 + CONFIG!$D$12*I9 + CONFIG!$C$12*H9)/CONFIG!$B$11,0)</f>
        <v>4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54</v>
      </c>
      <c r="B10" s="5">
        <v>2</v>
      </c>
      <c r="C10" s="11"/>
      <c r="D10" s="11" t="str" cm="1">
        <f t="array" aca="1" ref="D10" ca="1">PROCIMPORT(Tabela1[[#This Row],[Importa de]])</f>
        <v/>
      </c>
      <c r="E10" s="11">
        <f ca="1">Tabela1[[#This Row],[Mod]]*IF(Tabela1[[#This Row],[Mod Importação]]="",1,Tabela1[[#This Row],[Mod Importação]])*$G$1</f>
        <v>2.402420000033453</v>
      </c>
      <c r="F10" s="2">
        <f ca="1">$B$2*EXP($B$3*Tabela1[[#This Row],[Mod Final]])/EXP($B$3)</f>
        <v>4.0650254349214796</v>
      </c>
      <c r="G10">
        <f ca="1">ROUNDDOWN(F10 - (J10*CONFIG!$E$12 + CONFIG!$D$12*I10 + CONFIG!$C$12*H10)/CONFIG!$B$11,0)</f>
        <v>4</v>
      </c>
      <c r="H10">
        <f ca="1">ROUNDDOWN((F10- (I10*CONFIG!$D$12 + J10*CONFIG!$E$12))/CONFIG!$C$11,0)</f>
        <v>0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51</v>
      </c>
      <c r="B11" s="5">
        <v>2</v>
      </c>
      <c r="C11" s="11"/>
      <c r="D11" s="11" t="str" cm="1">
        <f t="array" aca="1" ref="D11" ca="1">PROCIMPORT(Tabela1[[#This Row],[Importa de]])</f>
        <v/>
      </c>
      <c r="E11" s="11">
        <f ca="1">Tabela1[[#This Row],[Mod]]*IF(Tabela1[[#This Row],[Mod Importação]]="",1,Tabela1[[#This Row],[Mod Importação]])*$G$1</f>
        <v>2.402420000033453</v>
      </c>
      <c r="F11" s="2">
        <f ca="1">$B$2*EXP($B$3*Tabela1[[#This Row],[Mod Final]])/EXP($B$3)</f>
        <v>4.0650254349214796</v>
      </c>
      <c r="G11">
        <f ca="1">ROUNDDOWN(F11 - (J11*CONFIG!$E$12 + CONFIG!$D$12*I11 + CONFIG!$C$12*H11)/CONFIG!$B$11,0)</f>
        <v>4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52</v>
      </c>
      <c r="B12" s="5">
        <v>2.5</v>
      </c>
      <c r="C12" s="11" t="s">
        <v>104</v>
      </c>
      <c r="D12" s="11" t="str" cm="1">
        <f t="array" aca="1" ref="D12" ca="1">PROCIMPORT(Tabela1[[#This Row],[Importa de]])</f>
        <v>1,001</v>
      </c>
      <c r="E12" s="11">
        <f ca="1">Tabela1[[#This Row],[Mod]]*IF(Tabela1[[#This Row],[Mod Importação]]="",1,Tabela1[[#This Row],[Mod Importação]])*$G$1</f>
        <v>3.0060280250418576</v>
      </c>
      <c r="F12" s="2">
        <f ca="1">$B$2*EXP($B$3*Tabela1[[#This Row],[Mod Final]])/EXP($B$3)</f>
        <v>7.4337320326716867</v>
      </c>
      <c r="G12">
        <f ca="1">ROUNDDOWN(F12 - (J12*CONFIG!$E$12 + CONFIG!$D$12*I12 + CONFIG!$C$12*H12)/CONFIG!$B$11,0)</f>
        <v>7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53</v>
      </c>
      <c r="B13" s="5">
        <v>2</v>
      </c>
      <c r="C13" s="11"/>
      <c r="D13" s="11" t="str" cm="1">
        <f t="array" aca="1" ref="D13" ca="1">PROCIMPORT(Tabela1[[#This Row],[Importa de]])</f>
        <v/>
      </c>
      <c r="E13" s="11">
        <f ca="1">Tabela1[[#This Row],[Mod]]*IF(Tabela1[[#This Row],[Mod Importação]]="",1,Tabela1[[#This Row],[Mod Importação]])*$G$1</f>
        <v>2.402420000033453</v>
      </c>
      <c r="F13" s="2">
        <f ca="1">$B$2*EXP($B$3*Tabela1[[#This Row],[Mod Final]])/EXP($B$3)</f>
        <v>4.0650254349214796</v>
      </c>
      <c r="G13">
        <f ca="1">ROUNDDOWN(F13 - (J13*CONFIG!$E$12 + CONFIG!$D$12*I13 + CONFIG!$C$12*H13)/CONFIG!$B$11,0)</f>
        <v>4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40</v>
      </c>
      <c r="B14" s="5">
        <v>2</v>
      </c>
      <c r="C14" s="11"/>
      <c r="D14" s="11" t="str" cm="1">
        <f t="array" aca="1" ref="D14" ca="1">PROCIMPORT(Tabela1[[#This Row],[Importa de]])</f>
        <v/>
      </c>
      <c r="E14" s="11">
        <f ca="1">Tabela1[[#This Row],[Mod]]*IF(Tabela1[[#This Row],[Mod Importação]]="",1,Tabela1[[#This Row],[Mod Importação]])*$G$1</f>
        <v>2.402420000033453</v>
      </c>
      <c r="F14" s="2">
        <f ca="1">$B$2*EXP($B$3*Tabela1[[#This Row],[Mod Final]])/EXP($B$3)</f>
        <v>4.0650254349214796</v>
      </c>
      <c r="G14">
        <f ca="1">ROUNDDOWN(F14 - (J14*CONFIG!$E$12 + CONFIG!$D$12*I14 + CONFIG!$C$12*H14)/CONFIG!$B$11,0)</f>
        <v>4</v>
      </c>
      <c r="H14">
        <f ca="1">ROUNDDOWN((F14- (I14*CONFIG!$D$12 + J14*CONFIG!$E$12))/CONFIG!$C$11,0)</f>
        <v>0</v>
      </c>
      <c r="I14">
        <f ca="1">ROUNDDOWN((F14 - J14*CONFIG!$E$12)/CONFIG!$D$12,0)</f>
        <v>0</v>
      </c>
      <c r="J14">
        <f ca="1">ROUNDDOWN(F14/CONFIG!$E$12,0)</f>
        <v>0</v>
      </c>
    </row>
    <row r="15" spans="1:12" x14ac:dyDescent="0.3">
      <c r="A15" t="s">
        <v>39</v>
      </c>
      <c r="B15" s="5">
        <v>2</v>
      </c>
      <c r="C15" s="11"/>
      <c r="D15" s="11" t="str" cm="1">
        <f t="array" aca="1" ref="D15" ca="1">PROCIMPORT(Tabela1[[#This Row],[Importa de]])</f>
        <v/>
      </c>
      <c r="E15" s="11">
        <f ca="1">Tabela1[[#This Row],[Mod]]*IF(Tabela1[[#This Row],[Mod Importação]]="",1,Tabela1[[#This Row],[Mod Importação]])*$G$1</f>
        <v>2.402420000033453</v>
      </c>
      <c r="F15" s="2">
        <f ca="1">$B$2*EXP($B$3*Tabela1[[#This Row],[Mod Final]])/EXP($B$3)</f>
        <v>4.0650254349214796</v>
      </c>
      <c r="G15">
        <f ca="1">ROUNDDOWN(F15 - (J15*CONFIG!$E$12 + CONFIG!$D$12*I15 + CONFIG!$C$12*H15)/CONFIG!$B$11,0)</f>
        <v>4</v>
      </c>
      <c r="H15">
        <f ca="1">ROUNDDOWN((F15- (I15*CONFIG!$D$12 + J15*CONFIG!$E$12))/CONFIG!$C$11,0)</f>
        <v>0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70</v>
      </c>
      <c r="B16" s="5">
        <v>1</v>
      </c>
      <c r="C16" s="11"/>
      <c r="D16" s="11" t="str" cm="1">
        <f t="array" aca="1" ref="D16" ca="1">PROCIMPORT(Tabela1[[#This Row],[Importa de]])</f>
        <v/>
      </c>
      <c r="E16" s="11">
        <f ca="1">Tabela1[[#This Row],[Mod]]*IF(Tabela1[[#This Row],[Mod Importação]]="",1,Tabela1[[#This Row],[Mod Importação]])*$G$1</f>
        <v>1.2012100000167265</v>
      </c>
      <c r="F16" s="2">
        <f ca="1">$B$2*EXP($B$3*Tabela1[[#This Row],[Mod Final]])/EXP($B$3)</f>
        <v>1.2228815500066281</v>
      </c>
      <c r="G16">
        <f ca="1">ROUNDDOWN(F16 - (J16*CONFIG!$E$12 + CONFIG!$D$12*I16 + CONFIG!$C$12*H16)/CONFIG!$B$11,0)</f>
        <v>1</v>
      </c>
      <c r="H16">
        <f ca="1">ROUNDDOWN((F16- (I16*CONFIG!$D$12 + J16*CONFIG!$E$12))/CONFIG!$C$11,0)</f>
        <v>0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69</v>
      </c>
      <c r="B17" s="5">
        <v>6.1</v>
      </c>
      <c r="C17" s="11"/>
      <c r="D17" s="11" t="str" cm="1">
        <f t="array" aca="1" ref="D17" ca="1">PROCIMPORT(Tabela1[[#This Row],[Importa de]])</f>
        <v/>
      </c>
      <c r="E17" s="11">
        <f ca="1">Tabela1[[#This Row],[Mod]]*IF(Tabela1[[#This Row],[Mod Importação]]="",1,Tabela1[[#This Row],[Mod Importação]])*$G$1</f>
        <v>7.3273810001020312</v>
      </c>
      <c r="F17" s="2">
        <f ca="1">$B$2*EXP($B$3*Tabela1[[#This Row],[Mod Final]])/EXP($B$3)</f>
        <v>559.68884764349036</v>
      </c>
      <c r="G17">
        <f ca="1">ROUNDDOWN(F17 - (J17*CONFIG!$E$12 + CONFIG!$D$12*I17 + CONFIG!$C$12*H17)/CONFIG!$B$11,0)</f>
        <v>19</v>
      </c>
      <c r="H17">
        <f ca="1">ROUNDDOWN((F17- (I17*CONFIG!$D$12 + J17*CONFIG!$E$12))/CONFIG!$C$11,0)</f>
        <v>7</v>
      </c>
      <c r="I17">
        <f ca="1">ROUNDDOWN((F17 - J17*CONFIG!$E$12)/CONFIG!$D$12,0)</f>
        <v>1</v>
      </c>
      <c r="J17">
        <f ca="1">ROUNDDOWN(F17/CONFIG!$E$12,0)</f>
        <v>0</v>
      </c>
    </row>
    <row r="18" spans="1:10" x14ac:dyDescent="0.3">
      <c r="A18" t="s">
        <v>59</v>
      </c>
      <c r="B18" s="5">
        <v>2</v>
      </c>
      <c r="C18" s="11"/>
      <c r="D18" s="11" t="str" cm="1">
        <f t="array" aca="1" ref="D18" ca="1">PROCIMPORT(Tabela1[[#This Row],[Importa de]])</f>
        <v/>
      </c>
      <c r="E18" s="11">
        <f ca="1">Tabela1[[#This Row],[Mod]]*IF(Tabela1[[#This Row],[Mod Importação]]="",1,Tabela1[[#This Row],[Mod Importação]])*$G$1</f>
        <v>2.402420000033453</v>
      </c>
      <c r="F18" s="2">
        <f ca="1">$B$2*EXP($B$3*Tabela1[[#This Row],[Mod Final]])/EXP($B$3)</f>
        <v>4.0650254349214796</v>
      </c>
      <c r="G18">
        <f ca="1">ROUNDDOWN(F18 - (J18*CONFIG!$E$12 + CONFIG!$D$12*I18 + CONFIG!$C$12*H18)/CONFIG!$B$11,0)</f>
        <v>4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49</v>
      </c>
      <c r="B19" s="5">
        <v>2.1</v>
      </c>
      <c r="C19" s="11"/>
      <c r="D19" s="11" t="str" cm="1">
        <f t="array" aca="1" ref="D19" ca="1">PROCIMPORT(Tabela1[[#This Row],[Importa de]])</f>
        <v/>
      </c>
      <c r="E19" s="11">
        <f ca="1">Tabela1[[#This Row],[Mod]]*IF(Tabela1[[#This Row],[Mod Importação]]="",1,Tabela1[[#This Row],[Mod Importação]])*$G$1</f>
        <v>2.5225410000351256</v>
      </c>
      <c r="F19" s="2">
        <f ca="1">$B$2*EXP($B$3*Tabela1[[#This Row],[Mod Final]])/EXP($B$3)</f>
        <v>4.5838579927340577</v>
      </c>
      <c r="G19">
        <f ca="1">ROUNDDOWN(F19 - (J19*CONFIG!$E$12 + CONFIG!$D$12*I19 + CONFIG!$C$12*H19)/CONFIG!$B$11,0)</f>
        <v>4</v>
      </c>
      <c r="H19">
        <f ca="1">ROUNDDOWN((F19- (I19*CONFIG!$D$12 + J19*CONFIG!$E$12))/CONFIG!$C$11,0)</f>
        <v>0</v>
      </c>
      <c r="I19">
        <f ca="1">ROUNDDOWN((F19 - J19*CONFIG!$E$12)/CONFIG!$D$12,0)</f>
        <v>0</v>
      </c>
      <c r="J19">
        <f ca="1">ROUNDDOWN(F19/CONFIG!$E$12,0)</f>
        <v>0</v>
      </c>
    </row>
    <row r="20" spans="1:10" x14ac:dyDescent="0.3">
      <c r="A20" t="s">
        <v>41</v>
      </c>
      <c r="B20" s="5">
        <v>1</v>
      </c>
      <c r="C20" s="11"/>
      <c r="D20" s="11" t="str" cm="1">
        <f t="array" aca="1" ref="D20" ca="1">PROCIMPORT(Tabela1[[#This Row],[Importa de]])</f>
        <v/>
      </c>
      <c r="E20" s="11">
        <f ca="1">Tabela1[[#This Row],[Mod]]*IF(Tabela1[[#This Row],[Mod Importação]]="",1,Tabela1[[#This Row],[Mod Importação]])*$G$1</f>
        <v>1.2012100000167265</v>
      </c>
      <c r="F20" s="2">
        <f ca="1">$B$2*EXP($B$3*Tabela1[[#This Row],[Mod Final]])/EXP($B$3)</f>
        <v>1.2228815500066281</v>
      </c>
      <c r="G20">
        <f ca="1">ROUNDDOWN(F20 - (J20*CONFIG!$E$12 + CONFIG!$D$12*I20 + CONFIG!$C$12*H20)/CONFIG!$B$11,0)</f>
        <v>1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83</v>
      </c>
      <c r="B21" s="5">
        <v>3</v>
      </c>
      <c r="C21" s="11"/>
      <c r="D21" s="11" t="str" cm="1">
        <f t="array" aca="1" ref="D21" ca="1">PROCIMPORT(Tabela1[[#This Row],[Importa de]])</f>
        <v/>
      </c>
      <c r="E21" s="11">
        <f ca="1">Tabela1[[#This Row],[Mod]]*IF(Tabela1[[#This Row],[Mod Importação]]="",1,Tabela1[[#This Row],[Mod Importação]])*$G$1</f>
        <v>3.6036300000501793</v>
      </c>
      <c r="F21" s="2">
        <f ca="1">$B$2*EXP($B$3*Tabela1[[#This Row],[Mod Final]])/EXP($B$3)</f>
        <v>13.512700217342386</v>
      </c>
      <c r="G21">
        <f ca="1">ROUNDDOWN(F21 - (J21*CONFIG!$E$12 + CONFIG!$D$12*I21 + CONFIG!$C$12*H21)/CONFIG!$B$11,0)</f>
        <v>13</v>
      </c>
      <c r="H21">
        <f ca="1">ROUNDDOWN((F21- (I21*CONFIG!$D$12 + J21*CONFIG!$E$12))/CONFIG!$C$11,0)</f>
        <v>0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81</v>
      </c>
      <c r="B22" s="5">
        <v>4.7</v>
      </c>
      <c r="C22" s="11"/>
      <c r="D22" s="11" t="str" cm="1">
        <f t="array" aca="1" ref="D22" ca="1">PROCIMPORT(Tabela1[[#This Row],[Importa de]])</f>
        <v/>
      </c>
      <c r="E22" s="11">
        <f ca="1">Tabela1[[#This Row],[Mod]]*IF(Tabela1[[#This Row],[Mod Importação]]="",1,Tabela1[[#This Row],[Mod Importação]])*$G$1</f>
        <v>5.645687000078615</v>
      </c>
      <c r="F22" s="2">
        <f ca="1">$B$2*EXP($B$3*Tabela1[[#This Row],[Mod Final]])/EXP($B$3)</f>
        <v>104.1348818888624</v>
      </c>
      <c r="G22">
        <f ca="1">ROUNDDOWN(F22 - (J22*CONFIG!$E$12 + CONFIG!$D$12*I22 + CONFIG!$C$12*H22)/CONFIG!$B$11,0)</f>
        <v>4</v>
      </c>
      <c r="H22">
        <f ca="1">ROUNDDOWN((F22- (I22*CONFIG!$D$12 + J22*CONFIG!$E$12))/CONFIG!$C$11,0)</f>
        <v>5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48</v>
      </c>
      <c r="B23" s="5">
        <v>4</v>
      </c>
      <c r="C23" s="11"/>
      <c r="D23" s="11" t="str" cm="1">
        <f t="array" aca="1" ref="D23" ca="1">PROCIMPORT(Tabela1[[#This Row],[Importa de]])</f>
        <v/>
      </c>
      <c r="E23" s="11">
        <f ca="1">Tabela1[[#This Row],[Mod]]*IF(Tabela1[[#This Row],[Mod Importação]]="",1,Tabela1[[#This Row],[Mod Importação]])*$G$1</f>
        <v>4.804840000066906</v>
      </c>
      <c r="F23" s="2">
        <f ca="1">$B$2*EXP($B$3*Tabela1[[#This Row],[Mod Final]])/EXP($B$3)</f>
        <v>44.918062651013173</v>
      </c>
      <c r="G23">
        <f ca="1">ROUNDDOWN(F23 - (J23*CONFIG!$E$12 + CONFIG!$D$12*I23 + CONFIG!$C$12*H23)/CONFIG!$B$11,0)</f>
        <v>4</v>
      </c>
      <c r="H23">
        <f ca="1">ROUNDDOWN((F23- (I23*CONFIG!$D$12 + J23*CONFIG!$E$12))/CONFIG!$C$11,0)</f>
        <v>2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55</v>
      </c>
      <c r="B24" s="5">
        <v>5</v>
      </c>
      <c r="C24" s="11"/>
      <c r="D24" s="11" t="str" cm="1">
        <f t="array" aca="1" ref="D24" ca="1">PROCIMPORT(Tabela1[[#This Row],[Importa de]])</f>
        <v/>
      </c>
      <c r="E24" s="11">
        <f ca="1">Tabela1[[#This Row],[Mod]]*IF(Tabela1[[#This Row],[Mod Importação]]="",1,Tabela1[[#This Row],[Mod Importação]])*$G$1</f>
        <v>6.0060500000836328</v>
      </c>
      <c r="F24" s="2">
        <f ca="1">$B$2*EXP($B$3*Tabela1[[#This Row],[Mod Final]])/EXP($B$3)</f>
        <v>149.31378035981936</v>
      </c>
      <c r="G24">
        <f ca="1">ROUNDDOWN(F24 - (J24*CONFIG!$E$12 + CONFIG!$D$12*I24 + CONFIG!$C$12*H24)/CONFIG!$B$11,0)</f>
        <v>9</v>
      </c>
      <c r="H24">
        <f ca="1">ROUNDDOWN((F24- (I24*CONFIG!$D$12 + J24*CONFIG!$E$12))/CONFIG!$C$11,0)</f>
        <v>7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75</v>
      </c>
      <c r="B25" s="5">
        <v>5</v>
      </c>
      <c r="C25" s="11"/>
      <c r="D25" s="11" t="str" cm="1">
        <f t="array" aca="1" ref="D25" ca="1">PROCIMPORT(Tabela1[[#This Row],[Importa de]])</f>
        <v/>
      </c>
      <c r="E25" s="11">
        <f ca="1">Tabela1[[#This Row],[Mod]]*IF(Tabela1[[#This Row],[Mod Importação]]="",1,Tabela1[[#This Row],[Mod Importação]])*$G$1</f>
        <v>6.0060500000836328</v>
      </c>
      <c r="F25" s="2">
        <f ca="1">$B$2*EXP($B$3*Tabela1[[#This Row],[Mod Final]])/EXP($B$3)</f>
        <v>149.31378035981936</v>
      </c>
      <c r="G25">
        <f ca="1">ROUNDDOWN(F25 - (J25*CONFIG!$E$12 + CONFIG!$D$12*I25 + CONFIG!$C$12*H25)/CONFIG!$B$11,0)</f>
        <v>9</v>
      </c>
      <c r="H25">
        <f ca="1">ROUNDDOWN((F25- (I25*CONFIG!$D$12 + J25*CONFIG!$E$12))/CONFIG!$C$11,0)</f>
        <v>7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72</v>
      </c>
      <c r="B26" s="5">
        <v>4.7</v>
      </c>
      <c r="C26" s="11"/>
      <c r="D26" s="11" t="str" cm="1">
        <f t="array" aca="1" ref="D26" ca="1">PROCIMPORT(Tabela1[[#This Row],[Importa de]])</f>
        <v/>
      </c>
      <c r="E26" s="11">
        <f ca="1">Tabela1[[#This Row],[Mod]]*IF(Tabela1[[#This Row],[Mod Importação]]="",1,Tabela1[[#This Row],[Mod Importação]])*$G$1</f>
        <v>5.645687000078615</v>
      </c>
      <c r="F26" s="2">
        <f ca="1">$B$2*EXP($B$3*Tabela1[[#This Row],[Mod Final]])/EXP($B$3)</f>
        <v>104.1348818888624</v>
      </c>
      <c r="G26">
        <f ca="1">ROUNDDOWN(F26 - (J26*CONFIG!$E$12 + CONFIG!$D$12*I26 + CONFIG!$C$12*H26)/CONFIG!$B$11,0)</f>
        <v>4</v>
      </c>
      <c r="H26">
        <f ca="1">ROUNDDOWN((F26- (I26*CONFIG!$D$12 + J26*CONFIG!$E$12))/CONFIG!$C$11,0)</f>
        <v>5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71</v>
      </c>
      <c r="B27" s="5">
        <v>3.3</v>
      </c>
      <c r="C27" s="11"/>
      <c r="D27" s="11" t="str" cm="1">
        <f t="array" aca="1" ref="D27" ca="1">PROCIMPORT(Tabela1[[#This Row],[Importa de]])</f>
        <v/>
      </c>
      <c r="E27" s="11">
        <f ca="1">Tabela1[[#This Row],[Mod]]*IF(Tabela1[[#This Row],[Mod Importação]]="",1,Tabela1[[#This Row],[Mod Importação]])*$G$1</f>
        <v>3.9639930000551971</v>
      </c>
      <c r="F27" s="2">
        <f ca="1">$B$2*EXP($B$3*Tabela1[[#This Row],[Mod Final]])/EXP($B$3)</f>
        <v>19.375182606666378</v>
      </c>
      <c r="G27">
        <f ca="1">ROUNDDOWN(F27 - (J27*CONFIG!$E$12 + CONFIG!$D$12*I27 + CONFIG!$C$12*H27)/CONFIG!$B$11,0)</f>
        <v>19</v>
      </c>
      <c r="H27">
        <f ca="1">ROUNDDOWN((F27- (I27*CONFIG!$D$12 + J27*CONFIG!$E$12))/CONFIG!$C$11,0)</f>
        <v>0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64</v>
      </c>
      <c r="B28" s="5">
        <v>4.4000000000000004</v>
      </c>
      <c r="C28" s="11"/>
      <c r="D28" s="11" t="str" cm="1">
        <f t="array" aca="1" ref="D28" ca="1">PROCIMPORT(Tabela1[[#This Row],[Importa de]])</f>
        <v/>
      </c>
      <c r="E28" s="11">
        <f ca="1">Tabela1[[#This Row],[Mod]]*IF(Tabela1[[#This Row],[Mod Importação]]="",1,Tabela1[[#This Row],[Mod Importação]])*$G$1</f>
        <v>5.2853240000735973</v>
      </c>
      <c r="F28" s="2">
        <f ca="1">$B$2*EXP($B$3*Tabela1[[#This Row],[Mod Final]])/EXP($B$3)</f>
        <v>72.626073761410751</v>
      </c>
      <c r="G28">
        <f ca="1">ROUNDDOWN(F28 - (J28*CONFIG!$E$12 + CONFIG!$D$12*I28 + CONFIG!$C$12*H28)/CONFIG!$B$11,0)</f>
        <v>12</v>
      </c>
      <c r="H28">
        <f ca="1">ROUNDDOWN((F28- (I28*CONFIG!$D$12 + J28*CONFIG!$E$12))/CONFIG!$C$11,0)</f>
        <v>3</v>
      </c>
      <c r="I28">
        <f ca="1">ROUNDDOWN((F28 - J28*CONFIG!$E$12)/CONFIG!$D$12,0)</f>
        <v>0</v>
      </c>
      <c r="J28">
        <f ca="1">ROUNDDOWN(F28/CONFIG!$E$12,0)</f>
        <v>0</v>
      </c>
    </row>
    <row r="29" spans="1:10" x14ac:dyDescent="0.3">
      <c r="A29" t="s">
        <v>60</v>
      </c>
      <c r="B29" s="5">
        <v>2.4</v>
      </c>
      <c r="C29" s="11"/>
      <c r="D29" s="11" t="str" cm="1">
        <f t="array" aca="1" ref="D29" ca="1">PROCIMPORT(Tabela1[[#This Row],[Importa de]])</f>
        <v/>
      </c>
      <c r="E29" s="11">
        <f ca="1">Tabela1[[#This Row],[Mod]]*IF(Tabela1[[#This Row],[Mod Importação]]="",1,Tabela1[[#This Row],[Mod Importação]])*$G$1</f>
        <v>2.8829040000401434</v>
      </c>
      <c r="F29" s="2">
        <f ca="1">$B$2*EXP($B$3*Tabela1[[#This Row],[Mod Final]])/EXP($B$3)</f>
        <v>6.5725639009045453</v>
      </c>
      <c r="G29">
        <f ca="1">ROUNDDOWN(F29 - (J29*CONFIG!$E$12 + CONFIG!$D$12*I29 + CONFIG!$C$12*H29)/CONFIG!$B$11,0)</f>
        <v>6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56</v>
      </c>
      <c r="B30" s="5">
        <v>4</v>
      </c>
      <c r="C30" s="11"/>
      <c r="D30" s="11" t="str" cm="1">
        <f t="array" aca="1" ref="D30" ca="1">PROCIMPORT(Tabela1[[#This Row],[Importa de]])</f>
        <v/>
      </c>
      <c r="E30" s="11">
        <f ca="1">Tabela1[[#This Row],[Mod]]*IF(Tabela1[[#This Row],[Mod Importação]]="",1,Tabela1[[#This Row],[Mod Importação]])*$G$1</f>
        <v>4.804840000066906</v>
      </c>
      <c r="F30" s="2">
        <f ca="1">$B$2*EXP($B$3*Tabela1[[#This Row],[Mod Final]])/EXP($B$3)</f>
        <v>44.918062651013173</v>
      </c>
      <c r="G30">
        <f ca="1">ROUNDDOWN(F30 - (J30*CONFIG!$E$12 + CONFIG!$D$12*I30 + CONFIG!$C$12*H30)/CONFIG!$B$11,0)</f>
        <v>4</v>
      </c>
      <c r="H30">
        <f ca="1">ROUNDDOWN((F30- (I30*CONFIG!$D$12 + J30*CONFIG!$E$12))/CONFIG!$C$11,0)</f>
        <v>2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57</v>
      </c>
      <c r="B31" s="5">
        <v>7</v>
      </c>
      <c r="C31" s="11"/>
      <c r="D31" s="11" t="str" cm="1">
        <f t="array" aca="1" ref="D31" ca="1">PROCIMPORT(Tabela1[[#This Row],[Importa de]])</f>
        <v/>
      </c>
      <c r="E31" s="11">
        <f ca="1">Tabela1[[#This Row],[Mod]]*IF(Tabela1[[#This Row],[Mod Importação]]="",1,Tabela1[[#This Row],[Mod Importação]])*$G$1</f>
        <v>8.4084700001170862</v>
      </c>
      <c r="F31" s="2">
        <f ca="1">$B$2*EXP($B$3*Tabela1[[#This Row],[Mod Final]])/EXP($B$3)</f>
        <v>1649.9000678433738</v>
      </c>
      <c r="G31">
        <f ca="1">ROUNDDOWN(F31 - (J31*CONFIG!$E$12 + CONFIG!$D$12*I31 + CONFIG!$C$12*H31)/CONFIG!$B$11,0)</f>
        <v>9</v>
      </c>
      <c r="H31">
        <f ca="1">ROUNDDOWN((F31- (I31*CONFIG!$D$12 + J31*CONFIG!$E$12))/CONFIG!$C$11,0)</f>
        <v>2</v>
      </c>
      <c r="I31">
        <f ca="1">ROUNDDOWN((F31 - J31*CONFIG!$E$12)/CONFIG!$D$12,0)</f>
        <v>4</v>
      </c>
      <c r="J31">
        <f ca="1">ROUNDDOWN(F31/CONFIG!$E$12,0)</f>
        <v>0</v>
      </c>
    </row>
    <row r="32" spans="1:10" x14ac:dyDescent="0.3">
      <c r="A32" t="s">
        <v>73</v>
      </c>
      <c r="B32" s="5">
        <v>5</v>
      </c>
      <c r="C32" s="11"/>
      <c r="D32" s="11" t="str" cm="1">
        <f t="array" aca="1" ref="D32" ca="1">PROCIMPORT(Tabela1[[#This Row],[Importa de]])</f>
        <v/>
      </c>
      <c r="E32" s="11">
        <f ca="1">Tabela1[[#This Row],[Mod]]*IF(Tabela1[[#This Row],[Mod Importação]]="",1,Tabela1[[#This Row],[Mod Importação]])*$G$1</f>
        <v>6.0060500000836328</v>
      </c>
      <c r="F32" s="2">
        <f ca="1">$B$2*EXP($B$3*Tabela1[[#This Row],[Mod Final]])/EXP($B$3)</f>
        <v>149.31378035981936</v>
      </c>
      <c r="G32">
        <f ca="1">ROUNDDOWN(F32 - (J32*CONFIG!$E$12 + CONFIG!$D$12*I32 + CONFIG!$C$12*H32)/CONFIG!$B$11,0)</f>
        <v>9</v>
      </c>
      <c r="H32">
        <f ca="1">ROUNDDOWN((F32- (I32*CONFIG!$D$12 + J32*CONFIG!$E$12))/CONFIG!$C$11,0)</f>
        <v>7</v>
      </c>
      <c r="I32">
        <f ca="1">ROUNDDOWN((F32 - J32*CONFIG!$E$12)/CONFIG!$D$12,0)</f>
        <v>0</v>
      </c>
      <c r="J32">
        <f ca="1">ROUNDDOWN(F32/CONFIG!$E$12,0)</f>
        <v>0</v>
      </c>
    </row>
    <row r="33" spans="1:10" x14ac:dyDescent="0.3">
      <c r="A33" t="s">
        <v>77</v>
      </c>
      <c r="B33" s="5">
        <v>3.6</v>
      </c>
      <c r="C33" s="11"/>
      <c r="D33" s="11" t="str" cm="1">
        <f t="array" aca="1" ref="D33" ca="1">PROCIMPORT(Tabela1[[#This Row],[Importa de]])</f>
        <v/>
      </c>
      <c r="E33" s="11">
        <f ca="1">Tabela1[[#This Row],[Mod]]*IF(Tabela1[[#This Row],[Mod Importação]]="",1,Tabela1[[#This Row],[Mod Importação]])*$G$1</f>
        <v>4.3243560000602157</v>
      </c>
      <c r="F33" s="2">
        <f ca="1">$B$2*EXP($B$3*Tabela1[[#This Row],[Mod Final]])/EXP($B$3)</f>
        <v>27.78110185260212</v>
      </c>
      <c r="G33">
        <f ca="1">ROUNDDOWN(F33 - (J33*CONFIG!$E$12 + CONFIG!$D$12*I33 + CONFIG!$C$12*H33)/CONFIG!$B$11,0)</f>
        <v>7</v>
      </c>
      <c r="H33">
        <f ca="1">ROUNDDOWN((F33- (I33*CONFIG!$D$12 + J33*CONFIG!$E$12))/CONFIG!$C$11,0)</f>
        <v>1</v>
      </c>
      <c r="I33">
        <f ca="1">ROUNDDOWN((F33 - J33*CONFIG!$E$12)/CONFIG!$D$12,0)</f>
        <v>0</v>
      </c>
      <c r="J33">
        <f ca="1">ROUNDDOWN(F33/CONFIG!$E$12,0)</f>
        <v>0</v>
      </c>
    </row>
    <row r="34" spans="1:10" x14ac:dyDescent="0.3">
      <c r="A34" t="s">
        <v>78</v>
      </c>
      <c r="B34" s="5">
        <v>3.2</v>
      </c>
      <c r="C34" s="11"/>
      <c r="D34" s="11" t="str" cm="1">
        <f t="array" aca="1" ref="D34" ca="1">PROCIMPORT(Tabela1[[#This Row],[Importa de]])</f>
        <v/>
      </c>
      <c r="E34" s="11">
        <f ca="1">Tabela1[[#This Row],[Mod]]*IF(Tabela1[[#This Row],[Mod Importação]]="",1,Tabela1[[#This Row],[Mod Importação]])*$G$1</f>
        <v>3.8438720000535249</v>
      </c>
      <c r="F34" s="2">
        <f ca="1">$B$2*EXP($B$3*Tabela1[[#This Row],[Mod Final]])/EXP($B$3)</f>
        <v>17.182166251046986</v>
      </c>
      <c r="G34">
        <f ca="1">ROUNDDOWN(F34 - (J34*CONFIG!$E$12 + CONFIG!$D$12*I34 + CONFIG!$C$12*H34)/CONFIG!$B$11,0)</f>
        <v>17</v>
      </c>
      <c r="H34">
        <f ca="1">ROUNDDOWN((F34- (I34*CONFIG!$D$12 + J34*CONFIG!$E$12))/CONFIG!$C$11,0)</f>
        <v>0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62</v>
      </c>
      <c r="B35" s="5">
        <v>3</v>
      </c>
      <c r="C35" s="11"/>
      <c r="D35" s="11" t="str" cm="1">
        <f t="array" aca="1" ref="D35" ca="1">PROCIMPORT(Tabela1[[#This Row],[Importa de]])</f>
        <v/>
      </c>
      <c r="E35" s="11">
        <f ca="1">Tabela1[[#This Row],[Mod]]*IF(Tabela1[[#This Row],[Mod Importação]]="",1,Tabela1[[#This Row],[Mod Importação]])*$G$1</f>
        <v>3.6036300000501793</v>
      </c>
      <c r="F35" s="2">
        <f ca="1">$B$2*EXP($B$3*Tabela1[[#This Row],[Mod Final]])/EXP($B$3)</f>
        <v>13.512700217342386</v>
      </c>
      <c r="G35">
        <f ca="1">ROUNDDOWN(F35 - (J35*CONFIG!$E$12 + CONFIG!$D$12*I35 + CONFIG!$C$12*H35)/CONFIG!$B$11,0)</f>
        <v>13</v>
      </c>
      <c r="H35">
        <f ca="1">ROUNDDOWN((F35- (I35*CONFIG!$D$12 + J35*CONFIG!$E$12))/CONFIG!$C$11,0)</f>
        <v>0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32</v>
      </c>
      <c r="B36" s="5">
        <v>1</v>
      </c>
      <c r="C36" s="11"/>
      <c r="D36" s="11" t="str" cm="1">
        <f t="array" aca="1" ref="D36" ca="1">PROCIMPORT(Tabela1[[#This Row],[Importa de]])</f>
        <v/>
      </c>
      <c r="E36" s="11">
        <f ca="1">Tabela1[[#This Row],[Mod]]*IF(Tabela1[[#This Row],[Mod Importação]]="",1,Tabela1[[#This Row],[Mod Importação]])*$G$1</f>
        <v>1.2012100000167265</v>
      </c>
      <c r="F36" s="2">
        <f ca="1">$B$2*EXP($B$3*Tabela1[[#This Row],[Mod Final]])/EXP($B$3)</f>
        <v>1.2228815500066281</v>
      </c>
      <c r="G36">
        <f ca="1">ROUNDDOWN(F36 - (J36*CONFIG!$E$12 + CONFIG!$D$12*I36 + CONFIG!$C$12*H36)/CONFIG!$B$11,0)</f>
        <v>1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45</v>
      </c>
      <c r="B37" s="5">
        <v>3</v>
      </c>
      <c r="C37" s="11" t="s">
        <v>104</v>
      </c>
      <c r="D37" s="11" t="str" cm="1">
        <f t="array" aca="1" ref="D37" ca="1">PROCIMPORT(Tabela1[[#This Row],[Importa de]])</f>
        <v>1,001</v>
      </c>
      <c r="E37" s="11">
        <f ca="1">Tabela1[[#This Row],[Mod]]*IF(Tabela1[[#This Row],[Mod Importação]]="",1,Tabela1[[#This Row],[Mod Importação]])*$G$1</f>
        <v>3.6072336300502292</v>
      </c>
      <c r="F37" s="2">
        <f ca="1">$B$2*EXP($B$3*Tabela1[[#This Row],[Mod Final]])/EXP($B$3)</f>
        <v>13.561482833685636</v>
      </c>
      <c r="G37">
        <f ca="1">ROUNDDOWN(F37 - (J37*CONFIG!$E$12 + CONFIG!$D$12*I37 + CONFIG!$C$12*H37)/CONFIG!$B$11,0)</f>
        <v>13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43</v>
      </c>
      <c r="B38" s="5">
        <v>2.4</v>
      </c>
      <c r="C38" s="11"/>
      <c r="D38" s="11" t="str" cm="1">
        <f t="array" aca="1" ref="D38" ca="1">PROCIMPORT(Tabela1[[#This Row],[Importa de]])</f>
        <v/>
      </c>
      <c r="E38" s="11">
        <f ca="1">Tabela1[[#This Row],[Mod]]*IF(Tabela1[[#This Row],[Mod Importação]]="",1,Tabela1[[#This Row],[Mod Importação]])*$G$1</f>
        <v>2.8829040000401434</v>
      </c>
      <c r="F38" s="2">
        <f ca="1">$B$2*EXP($B$3*Tabela1[[#This Row],[Mod Final]])/EXP($B$3)</f>
        <v>6.5725639009045453</v>
      </c>
      <c r="G38">
        <f ca="1">ROUNDDOWN(F38 - (J38*CONFIG!$E$12 + CONFIG!$D$12*I38 + CONFIG!$C$12*H38)/CONFIG!$B$11,0)</f>
        <v>6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34</v>
      </c>
      <c r="B39" s="5">
        <v>2</v>
      </c>
      <c r="C39" s="11"/>
      <c r="D39" s="11" t="str" cm="1">
        <f t="array" aca="1" ref="D39" ca="1">PROCIMPORT(Tabela1[[#This Row],[Importa de]])</f>
        <v/>
      </c>
      <c r="E39" s="11">
        <f ca="1">Tabela1[[#This Row],[Mod]]*IF(Tabela1[[#This Row],[Mod Importação]]="",1,Tabela1[[#This Row],[Mod Importação]])*$G$1</f>
        <v>2.402420000033453</v>
      </c>
      <c r="F39" s="2">
        <f ca="1">$B$2*EXP($B$3*Tabela1[[#This Row],[Mod Final]])/EXP($B$3)</f>
        <v>4.0650254349214796</v>
      </c>
      <c r="G39">
        <f ca="1">ROUNDDOWN(F39 - (J39*CONFIG!$E$12 + CONFIG!$D$12*I39 + CONFIG!$C$12*H39)/CONFIG!$B$11,0)</f>
        <v>4</v>
      </c>
      <c r="H39">
        <f ca="1">ROUNDDOWN((F39- (I39*CONFIG!$D$12 + J39*CONFIG!$E$12))/CONFIG!$C$11,0)</f>
        <v>0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A40" t="s">
        <v>37</v>
      </c>
      <c r="B40" s="5">
        <v>2.5</v>
      </c>
      <c r="C40" s="11"/>
      <c r="D40" s="11" t="str" cm="1">
        <f t="array" aca="1" ref="D40" ca="1">PROCIMPORT(Tabela1[[#This Row],[Importa de]])</f>
        <v/>
      </c>
      <c r="E40" s="11">
        <f ca="1">Tabela1[[#This Row],[Mod]]*IF(Tabela1[[#This Row],[Mod Importação]]="",1,Tabela1[[#This Row],[Mod Importação]])*$G$1</f>
        <v>3.0030250000418164</v>
      </c>
      <c r="F40" s="2">
        <f ca="1">$B$2*EXP($B$3*Tabela1[[#This Row],[Mod Final]])/EXP($B$3)</f>
        <v>7.4114418352953315</v>
      </c>
      <c r="G40">
        <f ca="1">ROUNDDOWN(F40 - (J40*CONFIG!$E$12 + CONFIG!$D$12*I40 + CONFIG!$C$12*H40)/CONFIG!$B$11,0)</f>
        <v>7</v>
      </c>
      <c r="H40">
        <f ca="1">ROUNDDOWN((F40- (I40*CONFIG!$D$12 + J40*CONFIG!$E$12))/CONFIG!$C$11,0)</f>
        <v>0</v>
      </c>
      <c r="I40">
        <f ca="1">ROUNDDOWN((F40 - J40*CONFIG!$E$12)/CONFIG!$D$12,0)</f>
        <v>0</v>
      </c>
      <c r="J40">
        <f ca="1">ROUNDDOWN(F40/CONFIG!$E$12,0)</f>
        <v>0</v>
      </c>
    </row>
    <row r="41" spans="1:10" x14ac:dyDescent="0.3">
      <c r="A41" t="s">
        <v>79</v>
      </c>
      <c r="B41" s="5">
        <v>3</v>
      </c>
      <c r="C41" s="11"/>
      <c r="D41" s="11" t="str" cm="1">
        <f t="array" aca="1" ref="D41" ca="1">PROCIMPORT(Tabela1[[#This Row],[Importa de]])</f>
        <v/>
      </c>
      <c r="E41" s="11">
        <f ca="1">Tabela1[[#This Row],[Mod]]*IF(Tabela1[[#This Row],[Mod Importação]]="",1,Tabela1[[#This Row],[Mod Importação]])*$G$1</f>
        <v>3.6036300000501793</v>
      </c>
      <c r="F41" s="2">
        <f ca="1">$B$2*EXP($B$3*Tabela1[[#This Row],[Mod Final]])/EXP($B$3)</f>
        <v>13.512700217342386</v>
      </c>
      <c r="G41">
        <f ca="1">ROUNDDOWN(F41 - (J41*CONFIG!$E$12 + CONFIG!$D$12*I41 + CONFIG!$C$12*H41)/CONFIG!$B$11,0)</f>
        <v>13</v>
      </c>
      <c r="H41">
        <f ca="1">ROUNDDOWN((F41- (I41*CONFIG!$D$12 + J41*CONFIG!$E$12))/CONFIG!$C$11,0)</f>
        <v>0</v>
      </c>
      <c r="I41">
        <f ca="1">ROUNDDOWN((F41 - J41*CONFIG!$E$12)/CONFIG!$D$12,0)</f>
        <v>0</v>
      </c>
      <c r="J41">
        <f ca="1">ROUNDDOWN(F41/CONFIG!$E$12,0)</f>
        <v>0</v>
      </c>
    </row>
    <row r="42" spans="1:10" x14ac:dyDescent="0.3">
      <c r="A42" t="s">
        <v>76</v>
      </c>
      <c r="B42" s="5">
        <v>4.4000000000000004</v>
      </c>
      <c r="C42" s="11"/>
      <c r="D42" s="11" t="str" cm="1">
        <f t="array" aca="1" ref="D42" ca="1">PROCIMPORT(Tabela1[[#This Row],[Importa de]])</f>
        <v/>
      </c>
      <c r="E42" s="11">
        <f ca="1">Tabela1[[#This Row],[Mod]]*IF(Tabela1[[#This Row],[Mod Importação]]="",1,Tabela1[[#This Row],[Mod Importação]])*$G$1</f>
        <v>5.2853240000735973</v>
      </c>
      <c r="F42" s="2">
        <f ca="1">$B$2*EXP($B$3*Tabela1[[#This Row],[Mod Final]])/EXP($B$3)</f>
        <v>72.626073761410751</v>
      </c>
      <c r="G42">
        <f ca="1">ROUNDDOWN(F42 - (J42*CONFIG!$E$12 + CONFIG!$D$12*I42 + CONFIG!$C$12*H42)/CONFIG!$B$11,0)</f>
        <v>12</v>
      </c>
      <c r="H42">
        <f ca="1">ROUNDDOWN((F42- (I42*CONFIG!$D$12 + J42*CONFIG!$E$12))/CONFIG!$C$11,0)</f>
        <v>3</v>
      </c>
      <c r="I42">
        <f ca="1">ROUNDDOWN((F42 - J42*CONFIG!$E$12)/CONFIG!$D$12,0)</f>
        <v>0</v>
      </c>
      <c r="J42">
        <f ca="1">ROUNDDOWN(F42/CONFIG!$E$12,0)</f>
        <v>0</v>
      </c>
    </row>
    <row r="43" spans="1:10" x14ac:dyDescent="0.3">
      <c r="A43" t="s">
        <v>36</v>
      </c>
      <c r="B43" s="5">
        <v>4.5</v>
      </c>
      <c r="C43" s="11"/>
      <c r="D43" s="11" t="str" cm="1">
        <f t="array" aca="1" ref="D43" ca="1">PROCIMPORT(Tabela1[[#This Row],[Importa de]])</f>
        <v/>
      </c>
      <c r="E43" s="11">
        <f ca="1">Tabela1[[#This Row],[Mod]]*IF(Tabela1[[#This Row],[Mod Importação]]="",1,Tabela1[[#This Row],[Mod Importação]])*$G$1</f>
        <v>5.405445000075269</v>
      </c>
      <c r="F43" s="2">
        <f ca="1">$B$2*EXP($B$3*Tabela1[[#This Row],[Mod Final]])/EXP($B$3)</f>
        <v>81.895578274177794</v>
      </c>
      <c r="G43">
        <f ca="1">ROUNDDOWN(F43 - (J43*CONFIG!$E$12 + CONFIG!$D$12*I43 + CONFIG!$C$12*H43)/CONFIG!$B$11,0)</f>
        <v>1</v>
      </c>
      <c r="H43">
        <f ca="1">ROUNDDOWN((F43- (I43*CONFIG!$D$12 + J43*CONFIG!$E$12))/CONFIG!$C$11,0)</f>
        <v>4</v>
      </c>
      <c r="I43">
        <f ca="1">ROUNDDOWN((F43 - J43*CONFIG!$E$12)/CONFIG!$D$12,0)</f>
        <v>0</v>
      </c>
      <c r="J43">
        <f ca="1">ROUNDDOWN(F43/CONFIG!$E$12,0)</f>
        <v>0</v>
      </c>
    </row>
    <row r="44" spans="1:10" x14ac:dyDescent="0.3">
      <c r="A44" t="s">
        <v>35</v>
      </c>
      <c r="B44" s="5">
        <v>2</v>
      </c>
      <c r="C44" s="11"/>
      <c r="D44" s="11" t="str" cm="1">
        <f t="array" aca="1" ref="D44" ca="1">PROCIMPORT(Tabela1[[#This Row],[Importa de]])</f>
        <v/>
      </c>
      <c r="E44" s="11">
        <f ca="1">Tabela1[[#This Row],[Mod]]*IF(Tabela1[[#This Row],[Mod Importação]]="",1,Tabela1[[#This Row],[Mod Importação]])*$G$1</f>
        <v>2.402420000033453</v>
      </c>
      <c r="F44" s="2">
        <f ca="1">$B$2*EXP($B$3*Tabela1[[#This Row],[Mod Final]])/EXP($B$3)</f>
        <v>4.0650254349214796</v>
      </c>
      <c r="G44">
        <f ca="1">ROUNDDOWN(F44 - (J44*CONFIG!$E$12 + CONFIG!$D$12*I44 + CONFIG!$C$12*H44)/CONFIG!$B$11,0)</f>
        <v>4</v>
      </c>
      <c r="H44">
        <f ca="1">ROUNDDOWN((F44- (I44*CONFIG!$D$12 + J44*CONFIG!$E$12))/CONFIG!$C$11,0)</f>
        <v>0</v>
      </c>
      <c r="I44">
        <f ca="1">ROUNDDOWN((F44 - J44*CONFIG!$E$12)/CONFIG!$D$12,0)</f>
        <v>0</v>
      </c>
      <c r="J44">
        <f ca="1">ROUNDDOWN(F44/CONFIG!$E$12,0)</f>
        <v>0</v>
      </c>
    </row>
    <row r="45" spans="1:10" x14ac:dyDescent="0.3">
      <c r="A45" t="s">
        <v>80</v>
      </c>
      <c r="B45" s="5">
        <v>3</v>
      </c>
      <c r="C45" s="11"/>
      <c r="D45" s="11" t="str" cm="1">
        <f t="array" aca="1" ref="D45" ca="1">PROCIMPORT(Tabela1[[#This Row],[Importa de]])</f>
        <v/>
      </c>
      <c r="E45" s="11">
        <f ca="1">Tabela1[[#This Row],[Mod]]*IF(Tabela1[[#This Row],[Mod Importação]]="",1,Tabela1[[#This Row],[Mod Importação]])*$G$1</f>
        <v>3.6036300000501793</v>
      </c>
      <c r="F45" s="2">
        <f ca="1">$B$2*EXP($B$3*Tabela1[[#This Row],[Mod Final]])/EXP($B$3)</f>
        <v>13.512700217342386</v>
      </c>
      <c r="G45">
        <f ca="1">ROUNDDOWN(F45 - (J45*CONFIG!$E$12 + CONFIG!$D$12*I45 + CONFIG!$C$12*H45)/CONFIG!$B$11,0)</f>
        <v>13</v>
      </c>
      <c r="H45">
        <f ca="1">ROUNDDOWN((F45- (I45*CONFIG!$D$12 + J45*CONFIG!$E$12))/CONFIG!$C$11,0)</f>
        <v>0</v>
      </c>
      <c r="I45">
        <f ca="1">ROUNDDOWN((F45 - J45*CONFIG!$E$12)/CONFIG!$D$12,0)</f>
        <v>0</v>
      </c>
      <c r="J45">
        <f ca="1">ROUNDDOWN(F45/CONFIG!$E$12,0)</f>
        <v>0</v>
      </c>
    </row>
    <row r="46" spans="1:10" x14ac:dyDescent="0.3">
      <c r="A46" t="s">
        <v>33</v>
      </c>
      <c r="B46" s="5">
        <v>3</v>
      </c>
      <c r="C46" s="11"/>
      <c r="D46" s="11" t="str" cm="1">
        <f t="array" aca="1" ref="D46" ca="1">PROCIMPORT(Tabela1[[#This Row],[Importa de]])</f>
        <v/>
      </c>
      <c r="E46" s="11">
        <f ca="1">Tabela1[[#This Row],[Mod]]*IF(Tabela1[[#This Row],[Mod Importação]]="",1,Tabela1[[#This Row],[Mod Importação]])*$G$1</f>
        <v>3.6036300000501793</v>
      </c>
      <c r="F46" s="2">
        <f ca="1">$B$2*EXP($B$3*Tabela1[[#This Row],[Mod Final]])/EXP($B$3)</f>
        <v>13.512700217342386</v>
      </c>
      <c r="G46">
        <f ca="1">ROUNDDOWN(F46 - (J46*CONFIG!$E$12 + CONFIG!$D$12*I46 + CONFIG!$C$12*H46)/CONFIG!$B$11,0)</f>
        <v>13</v>
      </c>
      <c r="H46">
        <f ca="1">ROUNDDOWN((F46- (I46*CONFIG!$D$12 + J46*CONFIG!$E$12))/CONFIG!$C$11,0)</f>
        <v>0</v>
      </c>
      <c r="I46">
        <f ca="1">ROUNDDOWN((F46 - J46*CONFIG!$E$12)/CONFIG!$D$12,0)</f>
        <v>0</v>
      </c>
      <c r="J46">
        <f ca="1">ROUNDDOWN(F46/CONFIG!$E$12,0)</f>
        <v>0</v>
      </c>
    </row>
    <row r="47" spans="1:10" x14ac:dyDescent="0.3">
      <c r="A47" t="s">
        <v>42</v>
      </c>
      <c r="B47" s="5">
        <v>1.5</v>
      </c>
      <c r="C47" s="11"/>
      <c r="D47" s="11" t="str" cm="1">
        <f t="array" aca="1" ref="D47" ca="1">PROCIMPORT(Tabela1[[#This Row],[Importa de]])</f>
        <v/>
      </c>
      <c r="E47" s="11">
        <f ca="1">Tabela1[[#This Row],[Mod]]*IF(Tabela1[[#This Row],[Mod Importação]]="",1,Tabela1[[#This Row],[Mod Importação]])*$G$1</f>
        <v>1.8018150000250897</v>
      </c>
      <c r="F47" s="2">
        <f ca="1">$B$2*EXP($B$3*Tabela1[[#This Row],[Mod Final]])/EXP($B$3)</f>
        <v>2.2295839532686688</v>
      </c>
      <c r="G47">
        <f ca="1">ROUNDDOWN(F47 - (J47*CONFIG!$E$12 + CONFIG!$D$12*I47 + CONFIG!$C$12*H47)/CONFIG!$B$11,0)</f>
        <v>2</v>
      </c>
      <c r="H47">
        <f ca="1">ROUNDDOWN((F47- (I47*CONFIG!$D$12 + J47*CONFIG!$E$12))/CONFIG!$C$11,0)</f>
        <v>0</v>
      </c>
      <c r="I47">
        <f ca="1">ROUNDDOWN((F47 - J47*CONFIG!$E$12)/CONFIG!$D$12,0)</f>
        <v>0</v>
      </c>
      <c r="J47">
        <f ca="1">ROUNDDOWN(F47/CONFIG!$E$12,0)</f>
        <v>0</v>
      </c>
    </row>
    <row r="48" spans="1:10" x14ac:dyDescent="0.3">
      <c r="A48" t="s">
        <v>44</v>
      </c>
      <c r="B48" s="5">
        <v>5</v>
      </c>
      <c r="C48" s="11"/>
      <c r="D48" s="11" t="str" cm="1">
        <f t="array" aca="1" ref="D48" ca="1">PROCIMPORT(Tabela1[[#This Row],[Importa de]])</f>
        <v/>
      </c>
      <c r="E48" s="11">
        <f ca="1">Tabela1[[#This Row],[Mod]]*IF(Tabela1[[#This Row],[Mod Importação]]="",1,Tabela1[[#This Row],[Mod Importação]])*$G$1</f>
        <v>6.0060500000836328</v>
      </c>
      <c r="F48" s="2">
        <f ca="1">$B$2*EXP($B$3*Tabela1[[#This Row],[Mod Final]])/EXP($B$3)</f>
        <v>149.31378035981936</v>
      </c>
      <c r="G48">
        <f ca="1">ROUNDDOWN(F48 - (J48*CONFIG!$E$12 + CONFIG!$D$12*I48 + CONFIG!$C$12*H48)/CONFIG!$B$11,0)</f>
        <v>9</v>
      </c>
      <c r="H48">
        <f ca="1">ROUNDDOWN((F48- (I48*CONFIG!$D$12 + J48*CONFIG!$E$12))/CONFIG!$C$11,0)</f>
        <v>7</v>
      </c>
      <c r="I48">
        <f ca="1">ROUNDDOWN((F48 - J48*CONFIG!$E$12)/CONFIG!$D$12,0)</f>
        <v>0</v>
      </c>
      <c r="J48">
        <f ca="1">ROUNDDOWN(F48/CONFIG!$E$12,0)</f>
        <v>0</v>
      </c>
    </row>
    <row r="49" spans="1:10" x14ac:dyDescent="0.3">
      <c r="A49" t="s">
        <v>68</v>
      </c>
      <c r="B49" s="5">
        <v>2</v>
      </c>
      <c r="C49" s="11"/>
      <c r="D49" s="11" t="str" cm="1">
        <f t="array" aca="1" ref="D49" ca="1">PROCIMPORT(Tabela1[[#This Row],[Importa de]])</f>
        <v/>
      </c>
      <c r="E49" s="11">
        <f ca="1">Tabela1[[#This Row],[Mod]]*IF(Tabela1[[#This Row],[Mod Importação]]="",1,Tabela1[[#This Row],[Mod Importação]])*$G$1</f>
        <v>2.402420000033453</v>
      </c>
      <c r="F49" s="2">
        <f ca="1">$B$2*EXP($B$3*Tabela1[[#This Row],[Mod Final]])/EXP($B$3)</f>
        <v>4.0650254349214796</v>
      </c>
      <c r="G49">
        <f ca="1">ROUNDDOWN(F49 - (J49*CONFIG!$E$12 + CONFIG!$D$12*I49 + CONFIG!$C$12*H49)/CONFIG!$B$11,0)</f>
        <v>4</v>
      </c>
      <c r="H49">
        <f ca="1">ROUNDDOWN((F49- (I49*CONFIG!$D$12 + J49*CONFIG!$E$12))/CONFIG!$C$11,0)</f>
        <v>0</v>
      </c>
      <c r="I49">
        <f ca="1">ROUNDDOWN((F49 - J49*CONFIG!$E$12)/CONFIG!$D$12,0)</f>
        <v>0</v>
      </c>
      <c r="J49">
        <f ca="1">ROUNDDOWN(F49/CONFIG!$E$12,0)</f>
        <v>0</v>
      </c>
    </row>
    <row r="50" spans="1:10" x14ac:dyDescent="0.3">
      <c r="A50" t="s">
        <v>58</v>
      </c>
      <c r="B50" s="5">
        <v>1.1000000000000001</v>
      </c>
      <c r="C50" s="11"/>
      <c r="D50" s="11" t="str" cm="1">
        <f t="array" aca="1" ref="D50" ca="1">PROCIMPORT(Tabela1[[#This Row],[Importa de]])</f>
        <v/>
      </c>
      <c r="E50" s="11">
        <f ca="1">Tabela1[[#This Row],[Mod]]*IF(Tabela1[[#This Row],[Mod Importação]]="",1,Tabela1[[#This Row],[Mod Importação]])*$G$1</f>
        <v>1.3213310000183993</v>
      </c>
      <c r="F50" s="2">
        <f ca="1">$B$2*EXP($B$3*Tabela1[[#This Row],[Mod Final]])/EXP($B$3)</f>
        <v>1.3789619417899592</v>
      </c>
      <c r="G50">
        <f ca="1">ROUNDDOWN(F50 - (J50*CONFIG!$E$12 + CONFIG!$D$12*I50 + CONFIG!$C$12*H50)/CONFIG!$B$11,0)</f>
        <v>1</v>
      </c>
      <c r="H50">
        <f ca="1">ROUNDDOWN((F50- (I50*CONFIG!$D$12 + J50*CONFIG!$E$12))/CONFIG!$C$11,0)</f>
        <v>0</v>
      </c>
      <c r="I50">
        <f ca="1">ROUNDDOWN((F50 - J50*CONFIG!$E$12)/CONFIG!$D$12,0)</f>
        <v>0</v>
      </c>
      <c r="J50">
        <f ca="1">ROUNDDOWN(F50/CONFIG!$E$12,0)</f>
        <v>0</v>
      </c>
    </row>
    <row r="51" spans="1:10" x14ac:dyDescent="0.3">
      <c r="A51" t="s">
        <v>66</v>
      </c>
      <c r="B51" s="5">
        <v>1</v>
      </c>
      <c r="C51" s="11"/>
      <c r="D51" s="11" t="str" cm="1">
        <f t="array" aca="1" ref="D51" ca="1">PROCIMPORT(Tabela1[[#This Row],[Importa de]])</f>
        <v/>
      </c>
      <c r="E51" s="11">
        <f ca="1">Tabela1[[#This Row],[Mod]]*IF(Tabela1[[#This Row],[Mod Importação]]="",1,Tabela1[[#This Row],[Mod Importação]])*$G$1</f>
        <v>1.2012100000167265</v>
      </c>
      <c r="F51" s="2">
        <f ca="1">$B$2*EXP($B$3*Tabela1[[#This Row],[Mod Final]])/EXP($B$3)</f>
        <v>1.2228815500066281</v>
      </c>
      <c r="G51">
        <f ca="1">ROUNDDOWN(F51 - (J51*CONFIG!$E$12 + CONFIG!$D$12*I51 + CONFIG!$C$12*H51)/CONFIG!$B$11,0)</f>
        <v>1</v>
      </c>
      <c r="H51">
        <f ca="1">ROUNDDOWN((F51- (I51*CONFIG!$D$12 + J51*CONFIG!$E$12))/CONFIG!$C$11,0)</f>
        <v>0</v>
      </c>
      <c r="I51">
        <f ca="1">ROUNDDOWN((F51 - J51*CONFIG!$E$12)/CONFIG!$D$12,0)</f>
        <v>0</v>
      </c>
      <c r="J51">
        <f ca="1">ROUNDDOWN(F51/CONFIG!$E$12,0)</f>
        <v>0</v>
      </c>
    </row>
    <row r="52" spans="1:10" x14ac:dyDescent="0.3">
      <c r="A52" t="s">
        <v>67</v>
      </c>
      <c r="B52" s="5">
        <v>2</v>
      </c>
      <c r="C52" s="11"/>
      <c r="D52" s="11" t="str" cm="1">
        <f t="array" aca="1" ref="D52" ca="1">PROCIMPORT(Tabela1[[#This Row],[Importa de]])</f>
        <v/>
      </c>
      <c r="E52" s="11">
        <f ca="1">Tabela1[[#This Row],[Mod]]*IF(Tabela1[[#This Row],[Mod Importação]]="",1,Tabela1[[#This Row],[Mod Importação]])*$G$1</f>
        <v>2.402420000033453</v>
      </c>
      <c r="F52" s="2">
        <f ca="1">$B$2*EXP($B$3*Tabela1[[#This Row],[Mod Final]])/EXP($B$3)</f>
        <v>4.0650254349214796</v>
      </c>
      <c r="G52">
        <f ca="1">ROUNDDOWN(F52 - (J52*CONFIG!$E$12 + CONFIG!$D$12*I52 + CONFIG!$C$12*H52)/CONFIG!$B$11,0)</f>
        <v>4</v>
      </c>
      <c r="H52">
        <f ca="1">ROUNDDOWN((F52- (I52*CONFIG!$D$12 + J52*CONFIG!$E$12))/CONFIG!$C$11,0)</f>
        <v>0</v>
      </c>
      <c r="I52">
        <f ca="1">ROUNDDOWN((F52 - J52*CONFIG!$E$12)/CONFIG!$D$12,0)</f>
        <v>0</v>
      </c>
      <c r="J52">
        <f ca="1">ROUNDDOWN(F52/CONFIG!$E$12,0)</f>
        <v>0</v>
      </c>
    </row>
    <row r="53" spans="1:10" x14ac:dyDescent="0.3">
      <c r="A53" t="s">
        <v>74</v>
      </c>
      <c r="B53" s="5">
        <v>1.3</v>
      </c>
      <c r="C53" s="11"/>
      <c r="D53" s="11" t="str" cm="1">
        <f t="array" aca="1" ref="D53" ca="1">PROCIMPORT(Tabela1[[#This Row],[Importa de]])</f>
        <v/>
      </c>
      <c r="E53" s="11">
        <f ca="1">Tabela1[[#This Row],[Mod]]*IF(Tabela1[[#This Row],[Mod Importação]]="",1,Tabela1[[#This Row],[Mod Importação]])*$G$1</f>
        <v>1.5615730000217445</v>
      </c>
      <c r="F53" s="2">
        <f ca="1">$B$2*EXP($B$3*Tabela1[[#This Row],[Mod Final]])/EXP($B$3)</f>
        <v>1.7534284751831475</v>
      </c>
      <c r="G53">
        <f ca="1">ROUNDDOWN(F53 - (J53*CONFIG!$E$12 + CONFIG!$D$12*I53 + CONFIG!$C$12*H53)/CONFIG!$B$11,0)</f>
        <v>1</v>
      </c>
      <c r="H53">
        <f ca="1">ROUNDDOWN((F53- (I53*CONFIG!$D$12 + J53*CONFIG!$E$12))/CONFIG!$C$11,0)</f>
        <v>0</v>
      </c>
      <c r="I53">
        <f ca="1">ROUNDDOWN((F53 - J53*CONFIG!$E$12)/CONFIG!$D$12,0)</f>
        <v>0</v>
      </c>
      <c r="J53">
        <f ca="1">ROUNDDOWN(F53/CONFIG!$E$12,0)</f>
        <v>0</v>
      </c>
    </row>
    <row r="54" spans="1:10" x14ac:dyDescent="0.3">
      <c r="A54" t="s">
        <v>38</v>
      </c>
      <c r="B54" s="5">
        <v>2.2000000000000002</v>
      </c>
      <c r="C54" s="11"/>
      <c r="D54" s="11" t="str" cm="1">
        <f t="array" aca="1" ref="D54" ca="1">PROCIMPORT(Tabela1[[#This Row],[Importa de]])</f>
        <v/>
      </c>
      <c r="E54" s="11">
        <f ca="1">Tabela1[[#This Row],[Mod]]*IF(Tabela1[[#This Row],[Mod Importação]]="",1,Tabela1[[#This Row],[Mod Importação]])*$G$1</f>
        <v>2.6426620000367986</v>
      </c>
      <c r="F54" s="2">
        <f ca="1">$B$2*EXP($B$3*Tabela1[[#This Row],[Mod Final]])/EXP($B$3)</f>
        <v>5.1689108552792566</v>
      </c>
      <c r="G54">
        <f ca="1">ROUNDDOWN(F54 - (J54*CONFIG!$E$12 + CONFIG!$D$12*I54 + CONFIG!$C$12*H54)/CONFIG!$B$11,0)</f>
        <v>5</v>
      </c>
      <c r="H54">
        <f ca="1">ROUNDDOWN((F54- (I54*CONFIG!$D$12 + J54*CONFIG!$E$12))/CONFIG!$C$11,0)</f>
        <v>0</v>
      </c>
      <c r="I54">
        <f ca="1">ROUNDDOWN((F54 - J54*CONFIG!$E$12)/CONFIG!$D$12,0)</f>
        <v>0</v>
      </c>
      <c r="J54">
        <f ca="1">ROUNDDOWN(F54/CONFIG!$E$12,0)</f>
        <v>0</v>
      </c>
    </row>
    <row r="55" spans="1:10" x14ac:dyDescent="0.3">
      <c r="A55" t="s">
        <v>63</v>
      </c>
      <c r="B55" s="5">
        <v>6.5</v>
      </c>
      <c r="C55" s="11"/>
      <c r="D55" s="11" t="str" cm="1">
        <f t="array" aca="1" ref="D55" ca="1">PROCIMPORT(Tabela1[[#This Row],[Importa de]])</f>
        <v/>
      </c>
      <c r="E55" s="11">
        <f ca="1">Tabela1[[#This Row],[Mod]]*IF(Tabela1[[#This Row],[Mod Importação]]="",1,Tabela1[[#This Row],[Mod Importação]])*$G$1</f>
        <v>7.8078650001087224</v>
      </c>
      <c r="F55" s="2">
        <f ca="1">$B$2*EXP($B$3*Tabela1[[#This Row],[Mod Final]])/EXP($B$3)</f>
        <v>904.93670326358699</v>
      </c>
      <c r="G55">
        <f ca="1">ROUNDDOWN(F55 - (J55*CONFIG!$E$12 + CONFIG!$D$12*I55 + CONFIG!$C$12*H55)/CONFIG!$B$11,0)</f>
        <v>4</v>
      </c>
      <c r="H55">
        <f ca="1">ROUNDDOWN((F55- (I55*CONFIG!$D$12 + J55*CONFIG!$E$12))/CONFIG!$C$11,0)</f>
        <v>5</v>
      </c>
      <c r="I55">
        <f ca="1">ROUNDDOWN((F55 - J55*CONFIG!$E$12)/CONFIG!$D$12,0)</f>
        <v>2</v>
      </c>
      <c r="J55">
        <f ca="1">ROUNDDOWN(F55/CONFIG!$E$12,0)</f>
        <v>0</v>
      </c>
    </row>
    <row r="56" spans="1:10" x14ac:dyDescent="0.3">
      <c r="A56" t="s">
        <v>65</v>
      </c>
      <c r="B56" s="5">
        <v>7</v>
      </c>
      <c r="C56" s="11"/>
      <c r="D56" s="11" t="str" cm="1">
        <f t="array" aca="1" ref="D56" ca="1">PROCIMPORT(Tabela1[[#This Row],[Importa de]])</f>
        <v/>
      </c>
      <c r="E56" s="11">
        <f ca="1">Tabela1[[#This Row],[Mod]]*IF(Tabela1[[#This Row],[Mod Importação]]="",1,Tabela1[[#This Row],[Mod Importação]])*$G$1</f>
        <v>8.4084700001170862</v>
      </c>
      <c r="F56" s="2">
        <f ca="1">$B$2*EXP($B$3*Tabela1[[#This Row],[Mod Final]])/EXP($B$3)</f>
        <v>1649.9000678433738</v>
      </c>
      <c r="G56">
        <f ca="1">ROUNDDOWN(F56 - (J56*CONFIG!$E$12 + CONFIG!$D$12*I56 + CONFIG!$C$12*H56)/CONFIG!$B$11,0)</f>
        <v>9</v>
      </c>
      <c r="H56">
        <f ca="1">ROUNDDOWN((F56- (I56*CONFIG!$D$12 + J56*CONFIG!$E$12))/CONFIG!$C$11,0)</f>
        <v>2</v>
      </c>
      <c r="I56">
        <f ca="1">ROUNDDOWN((F56 - J56*CONFIG!$E$12)/CONFIG!$D$12,0)</f>
        <v>4</v>
      </c>
      <c r="J56">
        <f ca="1">ROUNDDOWN(F56/CONFIG!$E$12,0)</f>
        <v>0</v>
      </c>
    </row>
    <row r="57" spans="1:10" x14ac:dyDescent="0.3">
      <c r="A57" t="s">
        <v>85</v>
      </c>
      <c r="B57" s="5">
        <v>5.0999999999999996</v>
      </c>
      <c r="C57" s="11"/>
      <c r="D57" s="11" t="str" cm="1">
        <f t="array" aca="1" ref="D57" ca="1">PROCIMPORT(Tabela1[[#This Row],[Importa de]])</f>
        <v/>
      </c>
      <c r="E57" s="11">
        <f ca="1">Tabela1[[#This Row],[Mod]]*IF(Tabela1[[#This Row],[Mod Importação]]="",1,Tabela1[[#This Row],[Mod Importação]])*$G$1</f>
        <v>6.1261710000853045</v>
      </c>
      <c r="F57" s="2">
        <f ca="1">$B$2*EXP($B$3*Tabela1[[#This Row],[Mod Final]])/EXP($B$3)</f>
        <v>168.3711889347417</v>
      </c>
      <c r="G57">
        <f ca="1">ROUNDDOWN(F57 - (J57*CONFIG!$E$12 + CONFIG!$D$12*I57 + CONFIG!$C$12*H57)/CONFIG!$B$11,0)</f>
        <v>8</v>
      </c>
      <c r="H57">
        <f ca="1">ROUNDDOWN((F57- (I57*CONFIG!$D$12 + J57*CONFIG!$E$12))/CONFIG!$C$11,0)</f>
        <v>8</v>
      </c>
      <c r="I57">
        <f ca="1">ROUNDDOWN((F57 - J57*CONFIG!$E$12)/CONFIG!$D$12,0)</f>
        <v>0</v>
      </c>
      <c r="J57">
        <f ca="1">ROUNDDOWN(F57/CONFIG!$E$12,0)</f>
        <v>0</v>
      </c>
    </row>
    <row r="58" spans="1:10" x14ac:dyDescent="0.3">
      <c r="A58" t="s">
        <v>86</v>
      </c>
      <c r="B58" s="5">
        <v>4.2</v>
      </c>
      <c r="C58" s="11"/>
      <c r="D58" s="11" t="str" cm="1">
        <f t="array" aca="1" ref="D58" ca="1">PROCIMPORT(Tabela1[[#This Row],[Importa de]])</f>
        <v/>
      </c>
      <c r="E58" s="11">
        <f ca="1">Tabela1[[#This Row],[Mod]]*IF(Tabela1[[#This Row],[Mod Importação]]="",1,Tabela1[[#This Row],[Mod Importação]])*$G$1</f>
        <v>5.0450820000702512</v>
      </c>
      <c r="F58" s="2">
        <f ca="1">$B$2*EXP($B$3*Tabela1[[#This Row],[Mod Final]])/EXP($B$3)</f>
        <v>57.115869347425225</v>
      </c>
      <c r="G58">
        <f ca="1">ROUNDDOWN(F58 - (J58*CONFIG!$E$12 + CONFIG!$D$12*I58 + CONFIG!$C$12*H58)/CONFIG!$B$11,0)</f>
        <v>17</v>
      </c>
      <c r="H58">
        <f ca="1">ROUNDDOWN((F58- (I58*CONFIG!$D$12 + J58*CONFIG!$E$12))/CONFIG!$C$11,0)</f>
        <v>2</v>
      </c>
      <c r="I58">
        <f ca="1">ROUNDDOWN((F58 - J58*CONFIG!$E$12)/CONFIG!$D$12,0)</f>
        <v>0</v>
      </c>
      <c r="J58">
        <f ca="1">ROUNDDOWN(F58/CONFIG!$E$12,0)</f>
        <v>0</v>
      </c>
    </row>
    <row r="59" spans="1:10" x14ac:dyDescent="0.3">
      <c r="A59" t="s">
        <v>87</v>
      </c>
      <c r="B59" s="5">
        <v>5.5</v>
      </c>
      <c r="C59" s="11"/>
      <c r="D59" s="11" t="str" cm="1">
        <f t="array" aca="1" ref="D59" ca="1">PROCIMPORT(Tabela1[[#This Row],[Importa de]])</f>
        <v/>
      </c>
      <c r="E59" s="11">
        <f ca="1">Tabela1[[#This Row],[Mod]]*IF(Tabela1[[#This Row],[Mod Importação]]="",1,Tabela1[[#This Row],[Mod Importação]])*$G$1</f>
        <v>6.6066550000919957</v>
      </c>
      <c r="F59" s="2">
        <f ca="1">$B$2*EXP($B$3*Tabela1[[#This Row],[Mod Final]])/EXP($B$3)</f>
        <v>272.23209696011139</v>
      </c>
      <c r="G59">
        <f ca="1">ROUNDDOWN(F59 - (J59*CONFIG!$E$12 + CONFIG!$D$12*I59 + CONFIG!$C$12*H59)/CONFIG!$B$11,0)</f>
        <v>12</v>
      </c>
      <c r="H59">
        <f ca="1">ROUNDDOWN((F59- (I59*CONFIG!$D$12 + J59*CONFIG!$E$12))/CONFIG!$C$11,0)</f>
        <v>13</v>
      </c>
      <c r="I59">
        <f ca="1">ROUNDDOWN((F59 - J59*CONFIG!$E$12)/CONFIG!$D$12,0)</f>
        <v>0</v>
      </c>
      <c r="J59">
        <f ca="1">ROUNDDOWN(F59/CONFIG!$E$12,0)</f>
        <v>0</v>
      </c>
    </row>
    <row r="60" spans="1:10" x14ac:dyDescent="0.3">
      <c r="A60" t="s">
        <v>88</v>
      </c>
      <c r="B60" s="5">
        <v>4</v>
      </c>
      <c r="C60" s="11"/>
      <c r="D60" s="11" t="str" cm="1">
        <f t="array" aca="1" ref="D60" ca="1">PROCIMPORT(Tabela1[[#This Row],[Importa de]])</f>
        <v/>
      </c>
      <c r="E60" s="11">
        <f ca="1">Tabela1[[#This Row],[Mod]]*IF(Tabela1[[#This Row],[Mod Importação]]="",1,Tabela1[[#This Row],[Mod Importação]])*$G$1</f>
        <v>4.804840000066906</v>
      </c>
      <c r="F60" s="2">
        <f ca="1">$B$2*EXP($B$3*Tabela1[[#This Row],[Mod Final]])/EXP($B$3)</f>
        <v>44.918062651013173</v>
      </c>
      <c r="G60">
        <f ca="1">ROUNDDOWN(F60 - (J60*CONFIG!$E$12 + CONFIG!$D$12*I60 + CONFIG!$C$12*H60)/CONFIG!$B$11,0)</f>
        <v>4</v>
      </c>
      <c r="H60">
        <f ca="1">ROUNDDOWN((F60- (I60*CONFIG!$D$12 + J60*CONFIG!$E$12))/CONFIG!$C$11,0)</f>
        <v>2</v>
      </c>
      <c r="I60">
        <f ca="1">ROUNDDOWN((F60 - J60*CONFIG!$E$12)/CONFIG!$D$12,0)</f>
        <v>0</v>
      </c>
      <c r="J60">
        <f ca="1">ROUNDDOWN(F60/CONFIG!$E$12,0)</f>
        <v>0</v>
      </c>
    </row>
    <row r="61" spans="1:10" x14ac:dyDescent="0.3">
      <c r="A61" t="s">
        <v>89</v>
      </c>
      <c r="B61" s="5">
        <v>4</v>
      </c>
      <c r="C61" s="11"/>
      <c r="D61" s="11" t="str" cm="1">
        <f t="array" aca="1" ref="D61" ca="1">PROCIMPORT(Tabela1[[#This Row],[Importa de]])</f>
        <v/>
      </c>
      <c r="E61" s="11">
        <f ca="1">Tabela1[[#This Row],[Mod]]*IF(Tabela1[[#This Row],[Mod Importação]]="",1,Tabela1[[#This Row],[Mod Importação]])*$G$1</f>
        <v>4.804840000066906</v>
      </c>
      <c r="F61" s="2">
        <f ca="1">$B$2*EXP($B$3*Tabela1[[#This Row],[Mod Final]])/EXP($B$3)</f>
        <v>44.918062651013173</v>
      </c>
      <c r="G61">
        <f ca="1">ROUNDDOWN(F61 - (J61*CONFIG!$E$12 + CONFIG!$D$12*I61 + CONFIG!$C$12*H61)/CONFIG!$B$11,0)</f>
        <v>4</v>
      </c>
      <c r="H61">
        <f ca="1">ROUNDDOWN((F61- (I61*CONFIG!$D$12 + J61*CONFIG!$E$12))/CONFIG!$C$11,0)</f>
        <v>2</v>
      </c>
      <c r="I61">
        <f ca="1">ROUNDDOWN((F61 - J61*CONFIG!$E$12)/CONFIG!$D$12,0)</f>
        <v>0</v>
      </c>
      <c r="J61">
        <f ca="1">ROUNDDOWN(F61/CONFIG!$E$12,0)</f>
        <v>0</v>
      </c>
    </row>
    <row r="62" spans="1:10" x14ac:dyDescent="0.3">
      <c r="A62" t="s">
        <v>90</v>
      </c>
      <c r="B62" s="5">
        <v>2.5</v>
      </c>
      <c r="C62" s="11"/>
      <c r="D62" s="11" t="str" cm="1">
        <f t="array" aca="1" ref="D62" ca="1">PROCIMPORT(Tabela1[[#This Row],[Importa de]])</f>
        <v/>
      </c>
      <c r="E62" s="11">
        <f ca="1">Tabela1[[#This Row],[Mod]]*IF(Tabela1[[#This Row],[Mod Importação]]="",1,Tabela1[[#This Row],[Mod Importação]])*$G$1</f>
        <v>3.0030250000418164</v>
      </c>
      <c r="F62" s="2">
        <f ca="1">$B$2*EXP($B$3*Tabela1[[#This Row],[Mod Final]])/EXP($B$3)</f>
        <v>7.4114418352953315</v>
      </c>
      <c r="G62">
        <f ca="1">ROUNDDOWN(F62 - (J62*CONFIG!$E$12 + CONFIG!$D$12*I62 + CONFIG!$C$12*H62)/CONFIG!$B$11,0)</f>
        <v>7</v>
      </c>
      <c r="H62">
        <f ca="1">ROUNDDOWN((F62- (I62*CONFIG!$D$12 + J62*CONFIG!$E$12))/CONFIG!$C$11,0)</f>
        <v>0</v>
      </c>
      <c r="I62">
        <f ca="1">ROUNDDOWN((F62 - J62*CONFIG!$E$12)/CONFIG!$D$12,0)</f>
        <v>0</v>
      </c>
      <c r="J62">
        <f ca="1">ROUNDDOWN(F62/CONFIG!$E$12,0)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29715D-C736-44A7-A46E-82D7A2C5918E}">
          <x14:formula1>
            <xm:f>CONFIG!$A$17:$A$67</xm:f>
          </x14:formula1>
          <xm:sqref>C5:C62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8B0A-2301-4C62-8C11-FE9ADDE0006F}">
  <sheetPr codeName="Planilha7">
    <tabColor theme="9" tint="0.79998168889431442"/>
  </sheetPr>
  <dimension ref="A1:L62"/>
  <sheetViews>
    <sheetView workbookViewId="0">
      <selection activeCell="D13" sqref="D13"/>
    </sheetView>
  </sheetViews>
  <sheetFormatPr defaultRowHeight="14.4" x14ac:dyDescent="0.3"/>
  <cols>
    <col min="1" max="1" width="25.777343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110</v>
      </c>
      <c r="G1" s="14">
        <f ca="1">CONFIG!D4</f>
        <v>1.2012100000167265</v>
      </c>
    </row>
    <row r="2" spans="1:12" x14ac:dyDescent="0.3">
      <c r="A2" t="s">
        <v>113</v>
      </c>
      <c r="B2" s="6">
        <v>10</v>
      </c>
      <c r="C2"/>
    </row>
    <row r="3" spans="1:12" x14ac:dyDescent="0.3">
      <c r="A3" t="s">
        <v>107</v>
      </c>
      <c r="B3" s="5">
        <v>1</v>
      </c>
      <c r="C3"/>
    </row>
    <row r="4" spans="1:12" x14ac:dyDescent="0.3">
      <c r="A4" s="36" t="s">
        <v>47</v>
      </c>
      <c r="B4" s="37" t="s">
        <v>14</v>
      </c>
      <c r="C4" s="38" t="s">
        <v>108</v>
      </c>
      <c r="D4" s="39" t="s">
        <v>106</v>
      </c>
      <c r="E4" s="39" t="s">
        <v>109</v>
      </c>
      <c r="F4" s="40" t="s">
        <v>7</v>
      </c>
      <c r="G4" s="38" t="s">
        <v>10</v>
      </c>
      <c r="H4" s="38" t="s">
        <v>8</v>
      </c>
      <c r="I4" s="38" t="s">
        <v>9</v>
      </c>
      <c r="J4" s="38" t="s">
        <v>12</v>
      </c>
    </row>
    <row r="5" spans="1:12" x14ac:dyDescent="0.3">
      <c r="A5" t="s">
        <v>124</v>
      </c>
      <c r="B5" s="5">
        <v>1.6</v>
      </c>
      <c r="C5" s="34"/>
      <c r="D5" s="35" t="str">
        <f>IF(Tabela135[[#This Row],[Importa de]]="","",LOOKUP(Tabela135[[#This Row],[Importa de]],_xlfn.ANCHORARRAY(Relações!$A$2),Relações!$C$2:$C$53))</f>
        <v/>
      </c>
      <c r="E5" s="35">
        <f ca="1">Tabela135[[#This Row],[Mod]]*IF(Tabela135[[#This Row],[Mod Importação]]="",1,Tabela135[[#This Row],[Mod Importação]])*$G$1</f>
        <v>1.9219360000267625</v>
      </c>
      <c r="F5" s="34">
        <f ca="1">$B$2*EXP($B$3*Tabela135[[#This Row],[Mod Final]])/EXP($B$3)</f>
        <v>25.141530817653056</v>
      </c>
      <c r="G5">
        <f ca="1">ROUNDDOWN(F5 - (J5*CONFIG!$E$12 + CONFIG!$D$12*I5 + CONFIG!$C$12*H5)/CONFIG!$B$11,0)</f>
        <v>5</v>
      </c>
      <c r="H5">
        <f ca="1">ROUNDDOWN((F5- (I5*CONFIG!$D$12 + J5*CONFIG!$E$12))/CONFIG!$C$11,0)</f>
        <v>1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142</v>
      </c>
      <c r="B6" s="5">
        <v>6.5</v>
      </c>
      <c r="C6" s="34"/>
      <c r="D6" s="35" t="str">
        <f>IF(Tabela135[[#This Row],[Importa de]]="","",LOOKUP(Tabela135[[#This Row],[Importa de]],_xlfn.ANCHORARRAY(Relações!$A$2),Relações!$C$2:$C$53))</f>
        <v/>
      </c>
      <c r="E6" s="35">
        <f ca="1">Tabela135[[#This Row],[Mod]]*IF(Tabela135[[#This Row],[Mod Importação]]="",1,Tabela135[[#This Row],[Mod Importação]])*$G$1</f>
        <v>7.8078650001087224</v>
      </c>
      <c r="F6" s="34">
        <f ca="1">$B$2*EXP($B$3*Tabela135[[#This Row],[Mod Final]])/EXP($B$3)</f>
        <v>9049.3670326358697</v>
      </c>
      <c r="G6">
        <f ca="1">ROUNDDOWN(F6 - (J6*CONFIG!$E$12 + CONFIG!$D$12*I6 + CONFIG!$C$12*H6)/CONFIG!$B$11,0)</f>
        <v>9</v>
      </c>
      <c r="H6">
        <f ca="1">ROUNDDOWN((F6- (I6*CONFIG!$D$12 + J6*CONFIG!$E$12))/CONFIG!$C$11,0)</f>
        <v>12</v>
      </c>
      <c r="I6">
        <f ca="1">ROUNDDOWN((F6 - J6*CONFIG!$E$12)/CONFIG!$D$12,0)</f>
        <v>22</v>
      </c>
      <c r="J6">
        <f ca="1">ROUNDDOWN(F6/CONFIG!$E$12,0)</f>
        <v>0</v>
      </c>
    </row>
    <row r="7" spans="1:12" x14ac:dyDescent="0.3">
      <c r="A7" t="s">
        <v>138</v>
      </c>
      <c r="B7" s="5">
        <v>1</v>
      </c>
      <c r="C7" s="34"/>
      <c r="D7" s="35" t="str">
        <f>IF(Tabela135[[#This Row],[Importa de]]="","",LOOKUP(Tabela135[[#This Row],[Importa de]],_xlfn.ANCHORARRAY(Relações!$A$2),Relações!$C$2:$C$53))</f>
        <v/>
      </c>
      <c r="E7" s="35">
        <f ca="1">Tabela135[[#This Row],[Mod]]*IF(Tabela135[[#This Row],[Mod Importação]]="",1,Tabela135[[#This Row],[Mod Importação]])*$G$1</f>
        <v>1.2012100000167265</v>
      </c>
      <c r="F7" s="34">
        <f ca="1">$B$2*EXP($B$3*Tabela135[[#This Row],[Mod Final]])/EXP($B$3)</f>
        <v>12.228815500066281</v>
      </c>
      <c r="G7">
        <f ca="1">ROUNDDOWN(F7 - (J7*CONFIG!$E$12 + CONFIG!$D$12*I7 + CONFIG!$C$12*H7)/CONFIG!$B$11,0)</f>
        <v>12</v>
      </c>
      <c r="H7">
        <f ca="1">ROUNDDOWN((F7- (I7*CONFIG!$D$12 + J7*CONFIG!$E$12))/CONFIG!$C$11,0)</f>
        <v>0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140</v>
      </c>
      <c r="B8" s="5">
        <v>1.6</v>
      </c>
      <c r="C8" s="34"/>
      <c r="D8" s="35" t="str">
        <f>IF(Tabela135[[#This Row],[Importa de]]="","",LOOKUP(Tabela135[[#This Row],[Importa de]],_xlfn.ANCHORARRAY(Relações!$A$2),Relações!$C$2:$C$53))</f>
        <v/>
      </c>
      <c r="E8" s="35">
        <f ca="1">Tabela135[[#This Row],[Mod]]*IF(Tabela135[[#This Row],[Mod Importação]]="",1,Tabela135[[#This Row],[Mod Importação]])*$G$1</f>
        <v>1.9219360000267625</v>
      </c>
      <c r="F8" s="34">
        <f ca="1">$B$2*EXP($B$3*Tabela135[[#This Row],[Mod Final]])/EXP($B$3)</f>
        <v>25.141530817653056</v>
      </c>
      <c r="G8">
        <f ca="1">ROUNDDOWN(F8 - (J8*CONFIG!$E$12 + CONFIG!$D$12*I8 + CONFIG!$C$12*H8)/CONFIG!$B$11,0)</f>
        <v>5</v>
      </c>
      <c r="H8">
        <f ca="1">ROUNDDOWN((F8- (I8*CONFIG!$D$12 + J8*CONFIG!$E$12))/CONFIG!$C$11,0)</f>
        <v>1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139</v>
      </c>
      <c r="B9" s="5">
        <v>1.2</v>
      </c>
      <c r="C9" s="34"/>
      <c r="D9" s="35" t="str">
        <f>IF(Tabela135[[#This Row],[Importa de]]="","",LOOKUP(Tabela135[[#This Row],[Importa de]],_xlfn.ANCHORARRAY(Relações!$A$2),Relações!$C$2:$C$53))</f>
        <v/>
      </c>
      <c r="E9" s="35">
        <f ca="1">Tabela135[[#This Row],[Mod]]*IF(Tabela135[[#This Row],[Mod Importação]]="",1,Tabela135[[#This Row],[Mod Importação]])*$G$1</f>
        <v>1.4414520000200717</v>
      </c>
      <c r="F9" s="34">
        <f ca="1">$B$2*EXP($B$3*Tabela135[[#This Row],[Mod Final]])/EXP($B$3)</f>
        <v>15.549633870057388</v>
      </c>
      <c r="G9">
        <f ca="1">ROUNDDOWN(F9 - (J9*CONFIG!$E$12 + CONFIG!$D$12*I9 + CONFIG!$C$12*H9)/CONFIG!$B$11,0)</f>
        <v>15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141</v>
      </c>
      <c r="B10" s="5">
        <v>3</v>
      </c>
      <c r="C10" s="34"/>
      <c r="D10" s="35" t="str">
        <f>IF(Tabela135[[#This Row],[Importa de]]="","",LOOKUP(Tabela135[[#This Row],[Importa de]],_xlfn.ANCHORARRAY(Relações!$A$2),Relações!$C$2:$C$53))</f>
        <v/>
      </c>
      <c r="E10" s="35">
        <f ca="1">Tabela135[[#This Row],[Mod]]*IF(Tabela135[[#This Row],[Mod Importação]]="",1,Tabela135[[#This Row],[Mod Importação]])*$G$1</f>
        <v>3.6036300000501793</v>
      </c>
      <c r="F10" s="34">
        <f ca="1">$B$2*EXP($B$3*Tabela135[[#This Row],[Mod Final]])/EXP($B$3)</f>
        <v>135.12700217342388</v>
      </c>
      <c r="G10">
        <f ca="1">ROUNDDOWN(F10 - (J10*CONFIG!$E$12 + CONFIG!$D$12*I10 + CONFIG!$C$12*H10)/CONFIG!$B$11,0)</f>
        <v>15</v>
      </c>
      <c r="H10">
        <f ca="1">ROUNDDOWN((F10- (I10*CONFIG!$D$12 + J10*CONFIG!$E$12))/CONFIG!$C$11,0)</f>
        <v>6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147</v>
      </c>
      <c r="B11" s="5">
        <v>0.5</v>
      </c>
      <c r="C11" s="34"/>
      <c r="D11" s="35" t="str">
        <f>IF(Tabela135[[#This Row],[Importa de]]="","",LOOKUP(Tabela135[[#This Row],[Importa de]],_xlfn.ANCHORARRAY(Relações!$A$2),Relações!$C$2:$C$53))</f>
        <v/>
      </c>
      <c r="E11" s="35">
        <f ca="1">Tabela135[[#This Row],[Mod]]*IF(Tabela135[[#This Row],[Mod Importação]]="",1,Tabela135[[#This Row],[Mod Importação]])*$G$1</f>
        <v>0.60060500000836325</v>
      </c>
      <c r="F11" s="34">
        <f ca="1">$B$2*EXP($B$3*Tabela135[[#This Row],[Mod Final]])/EXP($B$3)</f>
        <v>6.7072571237079135</v>
      </c>
      <c r="G11">
        <f ca="1">ROUNDDOWN(F11 - (J11*CONFIG!$E$12 + CONFIG!$D$12*I11 + CONFIG!$C$12*H11)/CONFIG!$B$11,0)</f>
        <v>6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149</v>
      </c>
      <c r="B12" s="5">
        <v>1.2</v>
      </c>
      <c r="C12" s="34"/>
      <c r="D12" s="35" t="str">
        <f>IF(Tabela135[[#This Row],[Importa de]]="","",LOOKUP(Tabela135[[#This Row],[Importa de]],_xlfn.ANCHORARRAY(Relações!$A$2),Relações!$C$2:$C$53))</f>
        <v/>
      </c>
      <c r="E12" s="35">
        <f ca="1">Tabela135[[#This Row],[Mod]]*IF(Tabela135[[#This Row],[Mod Importação]]="",1,Tabela135[[#This Row],[Mod Importação]])*$G$1</f>
        <v>1.4414520000200717</v>
      </c>
      <c r="F12" s="34">
        <f ca="1">$B$2*EXP($B$3*Tabela135[[#This Row],[Mod Final]])/EXP($B$3)</f>
        <v>15.549633870057388</v>
      </c>
      <c r="G12">
        <f ca="1">ROUNDDOWN(F12 - (J12*CONFIG!$E$12 + CONFIG!$D$12*I12 + CONFIG!$C$12*H12)/CONFIG!$B$11,0)</f>
        <v>15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148</v>
      </c>
      <c r="B13" s="5">
        <v>1</v>
      </c>
      <c r="C13" s="34"/>
      <c r="D13" s="35" t="str">
        <f>IF(Tabela135[[#This Row],[Importa de]]="","",LOOKUP(Tabela135[[#This Row],[Importa de]],_xlfn.ANCHORARRAY(Relações!$A$2),Relações!$C$2:$C$53))</f>
        <v/>
      </c>
      <c r="E13" s="35">
        <f ca="1">Tabela135[[#This Row],[Mod]]*IF(Tabela135[[#This Row],[Mod Importação]]="",1,Tabela135[[#This Row],[Mod Importação]])*$G$1</f>
        <v>1.2012100000167265</v>
      </c>
      <c r="F13" s="34">
        <f ca="1">$B$2*EXP($B$3*Tabela135[[#This Row],[Mod Final]])/EXP($B$3)</f>
        <v>12.228815500066281</v>
      </c>
      <c r="G13">
        <f ca="1">ROUNDDOWN(F13 - (J13*CONFIG!$E$12 + CONFIG!$D$12*I13 + CONFIG!$C$12*H13)/CONFIG!$B$11,0)</f>
        <v>12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128</v>
      </c>
      <c r="B14" s="5">
        <v>8</v>
      </c>
      <c r="C14" s="34" t="s">
        <v>115</v>
      </c>
      <c r="D14" s="35">
        <f ca="1">IF(Tabela135[[#This Row],[Importa de]]="","",LOOKUP(Tabela135[[#This Row],[Importa de]],_xlfn.ANCHORARRAY(Relações!$A$2),Relações!$C$2:$C$53))</f>
        <v>1.1000000000000001</v>
      </c>
      <c r="E14" s="35">
        <f ca="1">Tabela135[[#This Row],[Mod]]*IF(Tabela135[[#This Row],[Mod Importação]]="",1,Tabela135[[#This Row],[Mod Importação]])*$G$1</f>
        <v>10.570648000147195</v>
      </c>
      <c r="F14" s="34">
        <f ca="1">$B$2*EXP($B$3*Tabela135[[#This Row],[Mod Final]])/EXP($B$3)</f>
        <v>143377.04148951842</v>
      </c>
      <c r="G14">
        <f ca="1">ROUNDDOWN(F14 - (J14*CONFIG!$E$12 + CONFIG!$D$12*I14 + CONFIG!$C$12*H14)/CONFIG!$B$11,0)</f>
        <v>17</v>
      </c>
      <c r="H14">
        <f ca="1">ROUNDDOWN((F14- (I14*CONFIG!$D$12 + J14*CONFIG!$E$12))/CONFIG!$C$11,0)</f>
        <v>8</v>
      </c>
      <c r="I14">
        <f ca="1">ROUNDDOWN((F14 - J14*CONFIG!$E$12)/CONFIG!$D$12,0)</f>
        <v>358</v>
      </c>
      <c r="J14">
        <f ca="1">ROUNDDOWN(F14/CONFIG!$E$12,0)</f>
        <v>0</v>
      </c>
    </row>
    <row r="15" spans="1:12" x14ac:dyDescent="0.3">
      <c r="A15" t="s">
        <v>143</v>
      </c>
      <c r="B15" s="5">
        <v>2</v>
      </c>
      <c r="C15" s="34"/>
      <c r="D15" s="35" t="str">
        <f>IF(Tabela135[[#This Row],[Importa de]]="","",LOOKUP(Tabela135[[#This Row],[Importa de]],_xlfn.ANCHORARRAY(Relações!$A$2),Relações!$C$2:$C$53))</f>
        <v/>
      </c>
      <c r="E15" s="35">
        <f ca="1">Tabela135[[#This Row],[Mod]]*IF(Tabela135[[#This Row],[Mod Importação]]="",1,Tabela135[[#This Row],[Mod Importação]])*$G$1</f>
        <v>2.402420000033453</v>
      </c>
      <c r="F15" s="34">
        <f ca="1">$B$2*EXP($B$3*Tabela135[[#This Row],[Mod Final]])/EXP($B$3)</f>
        <v>40.650254349214791</v>
      </c>
      <c r="G15">
        <f ca="1">ROUNDDOWN(F15 - (J15*CONFIG!$E$12 + CONFIG!$D$12*I15 + CONFIG!$C$12*H15)/CONFIG!$B$11,0)</f>
        <v>0</v>
      </c>
      <c r="H15">
        <f ca="1">ROUNDDOWN((F15- (I15*CONFIG!$D$12 + J15*CONFIG!$E$12))/CONFIG!$C$11,0)</f>
        <v>2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144</v>
      </c>
      <c r="B16" s="5">
        <v>3</v>
      </c>
      <c r="C16" s="34"/>
      <c r="D16" s="35" t="str">
        <f>IF(Tabela135[[#This Row],[Importa de]]="","",LOOKUP(Tabela135[[#This Row],[Importa de]],_xlfn.ANCHORARRAY(Relações!$A$2),Relações!$C$2:$C$53))</f>
        <v/>
      </c>
      <c r="E16" s="35">
        <f ca="1">Tabela135[[#This Row],[Mod]]*IF(Tabela135[[#This Row],[Mod Importação]]="",1,Tabela135[[#This Row],[Mod Importação]])*$G$1</f>
        <v>3.6036300000501793</v>
      </c>
      <c r="F16" s="34">
        <f ca="1">$B$2*EXP($B$3*Tabela135[[#This Row],[Mod Final]])/EXP($B$3)</f>
        <v>135.12700217342388</v>
      </c>
      <c r="G16">
        <f ca="1">ROUNDDOWN(F16 - (J16*CONFIG!$E$12 + CONFIG!$D$12*I16 + CONFIG!$C$12*H16)/CONFIG!$B$11,0)</f>
        <v>15</v>
      </c>
      <c r="H16">
        <f ca="1">ROUNDDOWN((F16- (I16*CONFIG!$D$12 + J16*CONFIG!$E$12))/CONFIG!$C$11,0)</f>
        <v>6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145</v>
      </c>
      <c r="B17" s="5">
        <v>6</v>
      </c>
      <c r="C17" s="34"/>
      <c r="D17" s="35" t="str">
        <f>IF(Tabela135[[#This Row],[Importa de]]="","",LOOKUP(Tabela135[[#This Row],[Importa de]],_xlfn.ANCHORARRAY(Relações!$A$2),Relações!$C$2:$C$53))</f>
        <v/>
      </c>
      <c r="E17" s="35">
        <f ca="1">Tabela135[[#This Row],[Mod]]*IF(Tabela135[[#This Row],[Mod Importação]]="",1,Tabela135[[#This Row],[Mod Importação]])*$G$1</f>
        <v>7.2072600001003586</v>
      </c>
      <c r="F17" s="34">
        <f ca="1">$B$2*EXP($B$3*Tabela135[[#This Row],[Mod Final]])/EXP($B$3)</f>
        <v>4963.3941647386428</v>
      </c>
      <c r="G17">
        <f ca="1">ROUNDDOWN(F17 - (J17*CONFIG!$E$12 + CONFIG!$D$12*I17 + CONFIG!$C$12*H17)/CONFIG!$B$11,0)</f>
        <v>3</v>
      </c>
      <c r="H17">
        <f ca="1">ROUNDDOWN((F17- (I17*CONFIG!$D$12 + J17*CONFIG!$E$12))/CONFIG!$C$11,0)</f>
        <v>8</v>
      </c>
      <c r="I17">
        <f ca="1">ROUNDDOWN((F17 - J17*CONFIG!$E$12)/CONFIG!$D$12,0)</f>
        <v>12</v>
      </c>
      <c r="J17">
        <f ca="1">ROUNDDOWN(F17/CONFIG!$E$12,0)</f>
        <v>0</v>
      </c>
    </row>
    <row r="18" spans="1:10" x14ac:dyDescent="0.3">
      <c r="A18" t="s">
        <v>146</v>
      </c>
      <c r="B18" s="5">
        <v>1.4</v>
      </c>
      <c r="C18" s="34"/>
      <c r="D18" s="35" t="str">
        <f>IF(Tabela135[[#This Row],[Importa de]]="","",LOOKUP(Tabela135[[#This Row],[Importa de]],_xlfn.ANCHORARRAY(Relações!$A$2),Relações!$C$2:$C$53))</f>
        <v/>
      </c>
      <c r="E18" s="35">
        <f ca="1">Tabela135[[#This Row],[Mod]]*IF(Tabela135[[#This Row],[Mod Importação]]="",1,Tabela135[[#This Row],[Mod Importação]])*$G$1</f>
        <v>1.6816940000234171</v>
      </c>
      <c r="F18" s="34">
        <f ca="1">$B$2*EXP($B$3*Tabela135[[#This Row],[Mod Final]])/EXP($B$3)</f>
        <v>19.772243149103481</v>
      </c>
      <c r="G18">
        <f ca="1">ROUNDDOWN(F18 - (J18*CONFIG!$E$12 + CONFIG!$D$12*I18 + CONFIG!$C$12*H18)/CONFIG!$B$11,0)</f>
        <v>19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132</v>
      </c>
      <c r="B19" s="5">
        <v>6</v>
      </c>
      <c r="C19" s="34"/>
      <c r="D19" s="35" t="str">
        <f>IF(Tabela135[[#This Row],[Importa de]]="","",LOOKUP(Tabela135[[#This Row],[Importa de]],_xlfn.ANCHORARRAY(Relações!$A$2),Relações!$C$2:$C$53))</f>
        <v/>
      </c>
      <c r="E19" s="35">
        <f ca="1">Tabela135[[#This Row],[Mod]]*IF(Tabela135[[#This Row],[Mod Importação]]="",1,Tabela135[[#This Row],[Mod Importação]])*$G$1</f>
        <v>7.2072600001003586</v>
      </c>
      <c r="F19" s="34">
        <f ca="1">$B$2*EXP($B$3*Tabela135[[#This Row],[Mod Final]])/EXP($B$3)</f>
        <v>4963.3941647386428</v>
      </c>
      <c r="G19">
        <f ca="1">ROUNDDOWN(F19 - (J19*CONFIG!$E$12 + CONFIG!$D$12*I19 + CONFIG!$C$12*H19)/CONFIG!$B$11,0)</f>
        <v>3</v>
      </c>
      <c r="H19">
        <f ca="1">ROUNDDOWN((F19- (I19*CONFIG!$D$12 + J19*CONFIG!$E$12))/CONFIG!$C$11,0)</f>
        <v>8</v>
      </c>
      <c r="I19">
        <f ca="1">ROUNDDOWN((F19 - J19*CONFIG!$E$12)/CONFIG!$D$12,0)</f>
        <v>12</v>
      </c>
      <c r="J19">
        <f ca="1">ROUNDDOWN(F19/CONFIG!$E$12,0)</f>
        <v>0</v>
      </c>
    </row>
    <row r="20" spans="1:10" x14ac:dyDescent="0.3">
      <c r="A20" t="s">
        <v>136</v>
      </c>
      <c r="B20" s="5">
        <v>1.2</v>
      </c>
      <c r="C20" s="34"/>
      <c r="D20" s="35" t="str">
        <f>IF(Tabela135[[#This Row],[Importa de]]="","",LOOKUP(Tabela135[[#This Row],[Importa de]],_xlfn.ANCHORARRAY(Relações!$A$2),Relações!$C$2:$C$53))</f>
        <v/>
      </c>
      <c r="E20" s="35">
        <f ca="1">Tabela135[[#This Row],[Mod]]*IF(Tabela135[[#This Row],[Mod Importação]]="",1,Tabela135[[#This Row],[Mod Importação]])*$G$1</f>
        <v>1.4414520000200717</v>
      </c>
      <c r="F20" s="34">
        <f ca="1">$B$2*EXP($B$3*Tabela135[[#This Row],[Mod Final]])/EXP($B$3)</f>
        <v>15.549633870057388</v>
      </c>
      <c r="G20">
        <f ca="1">ROUNDDOWN(F20 - (J20*CONFIG!$E$12 + CONFIG!$D$12*I20 + CONFIG!$C$12*H20)/CONFIG!$B$11,0)</f>
        <v>15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135</v>
      </c>
      <c r="B21" s="5">
        <v>2</v>
      </c>
      <c r="C21" s="34"/>
      <c r="D21" s="35" t="str">
        <f>IF(Tabela135[[#This Row],[Importa de]]="","",LOOKUP(Tabela135[[#This Row],[Importa de]],_xlfn.ANCHORARRAY(Relações!$A$2),Relações!$C$2:$C$53))</f>
        <v/>
      </c>
      <c r="E21" s="35">
        <f ca="1">Tabela135[[#This Row],[Mod]]*IF(Tabela135[[#This Row],[Mod Importação]]="",1,Tabela135[[#This Row],[Mod Importação]])*$G$1</f>
        <v>2.402420000033453</v>
      </c>
      <c r="F21" s="34">
        <f ca="1">$B$2*EXP($B$3*Tabela135[[#This Row],[Mod Final]])/EXP($B$3)</f>
        <v>40.650254349214791</v>
      </c>
      <c r="G21">
        <f ca="1">ROUNDDOWN(F21 - (J21*CONFIG!$E$12 + CONFIG!$D$12*I21 + CONFIG!$C$12*H21)/CONFIG!$B$11,0)</f>
        <v>0</v>
      </c>
      <c r="H21">
        <f ca="1">ROUNDDOWN((F21- (I21*CONFIG!$D$12 + J21*CONFIG!$E$12))/CONFIG!$C$11,0)</f>
        <v>2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126</v>
      </c>
      <c r="B22" s="5">
        <v>2</v>
      </c>
      <c r="C22" s="34" t="s">
        <v>127</v>
      </c>
      <c r="D22" s="35">
        <f ca="1">IF(Tabela135[[#This Row],[Importa de]]="","",LOOKUP(Tabela135[[#This Row],[Importa de]],_xlfn.ANCHORARRAY(Relações!$A$2),Relações!$C$2:$C$53))</f>
        <v>1.1000000000000001</v>
      </c>
      <c r="E22" s="35">
        <f ca="1">Tabela135[[#This Row],[Mod]]*IF(Tabela135[[#This Row],[Mod Importação]]="",1,Tabela135[[#This Row],[Mod Importação]])*$G$1</f>
        <v>2.6426620000367986</v>
      </c>
      <c r="F22" s="34">
        <f ca="1">$B$2*EXP($B$3*Tabela135[[#This Row],[Mod Final]])/EXP($B$3)</f>
        <v>51.689108552792568</v>
      </c>
      <c r="G22">
        <f ca="1">ROUNDDOWN(F22 - (J22*CONFIG!$E$12 + CONFIG!$D$12*I22 + CONFIG!$C$12*H22)/CONFIG!$B$11,0)</f>
        <v>11</v>
      </c>
      <c r="H22">
        <f ca="1">ROUNDDOWN((F22- (I22*CONFIG!$D$12 + J22*CONFIG!$E$12))/CONFIG!$C$11,0)</f>
        <v>2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120</v>
      </c>
      <c r="B23" s="5">
        <v>1.4</v>
      </c>
      <c r="C23" s="11"/>
      <c r="D23" s="11" t="str">
        <f>IF(Tabela135[[#This Row],[Importa de]]="","",LOOKUP(Tabela135[[#This Row],[Importa de]],_xlfn.ANCHORARRAY(Relações!$A$2),Relações!$C$2:$C$53))</f>
        <v/>
      </c>
      <c r="E23" s="11">
        <f ca="1">Tabela135[[#This Row],[Mod]]*IF(Tabela135[[#This Row],[Mod Importação]]="",1,Tabela135[[#This Row],[Mod Importação]])*$G$1</f>
        <v>1.6816940000234171</v>
      </c>
      <c r="F23" s="2">
        <f ca="1">$B$2*EXP($B$3*Tabela135[[#This Row],[Mod Final]])/EXP($B$3)</f>
        <v>19.772243149103481</v>
      </c>
      <c r="G23">
        <f ca="1">ROUNDDOWN(F23 - (J23*CONFIG!$E$12 + CONFIG!$D$12*I23 + CONFIG!$C$12*H23)/CONFIG!$B$11,0)</f>
        <v>19</v>
      </c>
      <c r="H23">
        <f ca="1">ROUNDDOWN((F23- (I23*CONFIG!$D$12 + J23*CONFIG!$E$12))/CONFIG!$C$11,0)</f>
        <v>0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117</v>
      </c>
      <c r="B24" s="5">
        <v>1</v>
      </c>
      <c r="C24" s="11"/>
      <c r="D24" s="11" t="str">
        <f>IF(Tabela135[[#This Row],[Importa de]]="","",LOOKUP(Tabela135[[#This Row],[Importa de]],_xlfn.ANCHORARRAY(Relações!$A$2),Relações!$C$2:$C$53))</f>
        <v/>
      </c>
      <c r="E24" s="11">
        <f ca="1">Tabela135[[#This Row],[Mod]]*IF(Tabela135[[#This Row],[Mod Importação]]="",1,Tabela135[[#This Row],[Mod Importação]])*$G$1</f>
        <v>1.2012100000167265</v>
      </c>
      <c r="F24" s="2">
        <f ca="1">$B$2*EXP($B$3*Tabela135[[#This Row],[Mod Final]])/EXP($B$3)</f>
        <v>12.228815500066281</v>
      </c>
      <c r="G24">
        <f ca="1">ROUNDDOWN(F24 - (J24*CONFIG!$E$12 + CONFIG!$D$12*I24 + CONFIG!$C$12*H24)/CONFIG!$B$11,0)</f>
        <v>12</v>
      </c>
      <c r="H24">
        <f ca="1">ROUNDDOWN((F24- (I24*CONFIG!$D$12 + J24*CONFIG!$E$12))/CONFIG!$C$11,0)</f>
        <v>0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125</v>
      </c>
      <c r="B25" s="5">
        <v>4</v>
      </c>
      <c r="C25" s="34"/>
      <c r="D25" s="35" t="str">
        <f>IF(Tabela135[[#This Row],[Importa de]]="","",LOOKUP(Tabela135[[#This Row],[Importa de]],_xlfn.ANCHORARRAY(Relações!$A$2),Relações!$C$2:$C$53))</f>
        <v/>
      </c>
      <c r="E25" s="35">
        <f ca="1">Tabela135[[#This Row],[Mod]]*IF(Tabela135[[#This Row],[Mod Importação]]="",1,Tabela135[[#This Row],[Mod Importação]])*$G$1</f>
        <v>4.804840000066906</v>
      </c>
      <c r="F25" s="34">
        <f ca="1">$B$2*EXP($B$3*Tabela135[[#This Row],[Mod Final]])/EXP($B$3)</f>
        <v>449.18062651013173</v>
      </c>
      <c r="G25">
        <f ca="1">ROUNDDOWN(F25 - (J25*CONFIG!$E$12 + CONFIG!$D$12*I25 + CONFIG!$C$12*H25)/CONFIG!$B$11,0)</f>
        <v>9</v>
      </c>
      <c r="H25">
        <f ca="1">ROUNDDOWN((F25- (I25*CONFIG!$D$12 + J25*CONFIG!$E$12))/CONFIG!$C$11,0)</f>
        <v>2</v>
      </c>
      <c r="I25">
        <f ca="1">ROUNDDOWN((F25 - J25*CONFIG!$E$12)/CONFIG!$D$12,0)</f>
        <v>1</v>
      </c>
      <c r="J25">
        <f ca="1">ROUNDDOWN(F25/CONFIG!$E$12,0)</f>
        <v>0</v>
      </c>
    </row>
    <row r="26" spans="1:10" x14ac:dyDescent="0.3">
      <c r="A26" t="s">
        <v>121</v>
      </c>
      <c r="B26" s="5">
        <v>1.8</v>
      </c>
      <c r="C26" s="11"/>
      <c r="D26" s="11" t="str">
        <f>IF(Tabela135[[#This Row],[Importa de]]="","",LOOKUP(Tabela135[[#This Row],[Importa de]],_xlfn.ANCHORARRAY(Relações!$A$2),Relações!$C$2:$C$53))</f>
        <v/>
      </c>
      <c r="E26" s="11">
        <f ca="1">Tabela135[[#This Row],[Mod]]*IF(Tabela135[[#This Row],[Mod Importação]]="",1,Tabela135[[#This Row],[Mod Importação]])*$G$1</f>
        <v>2.1621780000301078</v>
      </c>
      <c r="F26" s="2">
        <f ca="1">$B$2*EXP($B$3*Tabela135[[#This Row],[Mod Final]])/EXP($B$3)</f>
        <v>31.968885224014599</v>
      </c>
      <c r="G26">
        <f ca="1">ROUNDDOWN(F26 - (J26*CONFIG!$E$12 + CONFIG!$D$12*I26 + CONFIG!$C$12*H26)/CONFIG!$B$11,0)</f>
        <v>11</v>
      </c>
      <c r="H26">
        <f ca="1">ROUNDDOWN((F26- (I26*CONFIG!$D$12 + J26*CONFIG!$E$12))/CONFIG!$C$11,0)</f>
        <v>1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133</v>
      </c>
      <c r="B27" s="5">
        <v>2.2000000000000002</v>
      </c>
      <c r="C27" s="34"/>
      <c r="D27" s="35" t="str">
        <f>IF(Tabela135[[#This Row],[Importa de]]="","",LOOKUP(Tabela135[[#This Row],[Importa de]],_xlfn.ANCHORARRAY(Relações!$A$2),Relações!$C$2:$C$53))</f>
        <v/>
      </c>
      <c r="E27" s="35">
        <f ca="1">Tabela135[[#This Row],[Mod]]*IF(Tabela135[[#This Row],[Mod Importação]]="",1,Tabela135[[#This Row],[Mod Importação]])*$G$1</f>
        <v>2.6426620000367986</v>
      </c>
      <c r="F27" s="34">
        <f ca="1">$B$2*EXP($B$3*Tabela135[[#This Row],[Mod Final]])/EXP($B$3)</f>
        <v>51.689108552792568</v>
      </c>
      <c r="G27">
        <f ca="1">ROUNDDOWN(F27 - (J27*CONFIG!$E$12 + CONFIG!$D$12*I27 + CONFIG!$C$12*H27)/CONFIG!$B$11,0)</f>
        <v>11</v>
      </c>
      <c r="H27">
        <f ca="1">ROUNDDOWN((F27- (I27*CONFIG!$D$12 + J27*CONFIG!$E$12))/CONFIG!$C$11,0)</f>
        <v>2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134</v>
      </c>
      <c r="B28" s="5">
        <v>4</v>
      </c>
      <c r="C28" s="34" t="s">
        <v>115</v>
      </c>
      <c r="D28" s="35">
        <f ca="1">IF(Tabela135[[#This Row],[Importa de]]="","",LOOKUP(Tabela135[[#This Row],[Importa de]],_xlfn.ANCHORARRAY(Relações!$A$2),Relações!$C$2:$C$53))</f>
        <v>1.1000000000000001</v>
      </c>
      <c r="E28" s="35">
        <f ca="1">Tabela135[[#This Row],[Mod]]*IF(Tabela135[[#This Row],[Mod Importação]]="",1,Tabela135[[#This Row],[Mod Importação]])*$G$1</f>
        <v>5.2853240000735973</v>
      </c>
      <c r="F28" s="34">
        <f ca="1">$B$2*EXP($B$3*Tabela135[[#This Row],[Mod Final]])/EXP($B$3)</f>
        <v>726.26073761410748</v>
      </c>
      <c r="G28">
        <f ca="1">ROUNDDOWN(F28 - (J28*CONFIG!$E$12 + CONFIG!$D$12*I28 + CONFIG!$C$12*H28)/CONFIG!$B$11,0)</f>
        <v>6</v>
      </c>
      <c r="H28">
        <f ca="1">ROUNDDOWN((F28- (I28*CONFIG!$D$12 + J28*CONFIG!$E$12))/CONFIG!$C$11,0)</f>
        <v>16</v>
      </c>
      <c r="I28">
        <f ca="1">ROUNDDOWN((F28 - J28*CONFIG!$E$12)/CONFIG!$D$12,0)</f>
        <v>1</v>
      </c>
      <c r="J28">
        <f ca="1">ROUNDDOWN(F28/CONFIG!$E$12,0)</f>
        <v>0</v>
      </c>
    </row>
    <row r="29" spans="1:10" x14ac:dyDescent="0.3">
      <c r="A29" t="s">
        <v>119</v>
      </c>
      <c r="B29" s="5">
        <v>1.4</v>
      </c>
      <c r="C29" s="11"/>
      <c r="D29" s="11" t="str">
        <f>IF(Tabela135[[#This Row],[Importa de]]="","",LOOKUP(Tabela135[[#This Row],[Importa de]],_xlfn.ANCHORARRAY(Relações!$A$2),Relações!$C$2:$C$53))</f>
        <v/>
      </c>
      <c r="E29" s="11">
        <f ca="1">Tabela135[[#This Row],[Mod]]*IF(Tabela135[[#This Row],[Mod Importação]]="",1,Tabela135[[#This Row],[Mod Importação]])*$G$1</f>
        <v>1.6816940000234171</v>
      </c>
      <c r="F29" s="2">
        <f ca="1">$B$2*EXP($B$3*Tabela135[[#This Row],[Mod Final]])/EXP($B$3)</f>
        <v>19.772243149103481</v>
      </c>
      <c r="G29">
        <f ca="1">ROUNDDOWN(F29 - (J29*CONFIG!$E$12 + CONFIG!$D$12*I29 + CONFIG!$C$12*H29)/CONFIG!$B$11,0)</f>
        <v>19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131</v>
      </c>
      <c r="B30" s="5">
        <v>3</v>
      </c>
      <c r="C30" s="34"/>
      <c r="D30" s="35" t="str">
        <f>IF(Tabela135[[#This Row],[Importa de]]="","",LOOKUP(Tabela135[[#This Row],[Importa de]],_xlfn.ANCHORARRAY(Relações!$A$2),Relações!$C$2:$C$53))</f>
        <v/>
      </c>
      <c r="E30" s="35">
        <f ca="1">Tabela135[[#This Row],[Mod]]*IF(Tabela135[[#This Row],[Mod Importação]]="",1,Tabela135[[#This Row],[Mod Importação]])*$G$1</f>
        <v>3.6036300000501793</v>
      </c>
      <c r="F30" s="34">
        <f ca="1">$B$2*EXP($B$3*Tabela135[[#This Row],[Mod Final]])/EXP($B$3)</f>
        <v>135.12700217342388</v>
      </c>
      <c r="G30">
        <f ca="1">ROUNDDOWN(F30 - (J30*CONFIG!$E$12 + CONFIG!$D$12*I30 + CONFIG!$C$12*H30)/CONFIG!$B$11,0)</f>
        <v>15</v>
      </c>
      <c r="H30">
        <f ca="1">ROUNDDOWN((F30- (I30*CONFIG!$D$12 + J30*CONFIG!$E$12))/CONFIG!$C$11,0)</f>
        <v>6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137</v>
      </c>
      <c r="B31" s="5">
        <v>1</v>
      </c>
      <c r="C31" s="34"/>
      <c r="D31" s="35" t="str">
        <f>IF(Tabela135[[#This Row],[Importa de]]="","",LOOKUP(Tabela135[[#This Row],[Importa de]],_xlfn.ANCHORARRAY(Relações!$A$2),Relações!$C$2:$C$53))</f>
        <v/>
      </c>
      <c r="E31" s="35">
        <f ca="1">Tabela135[[#This Row],[Mod]]*IF(Tabela135[[#This Row],[Mod Importação]]="",1,Tabela135[[#This Row],[Mod Importação]])*$G$1</f>
        <v>1.2012100000167265</v>
      </c>
      <c r="F31" s="34">
        <f ca="1">$B$2*EXP($B$3*Tabela135[[#This Row],[Mod Final]])/EXP($B$3)</f>
        <v>12.228815500066281</v>
      </c>
      <c r="G31">
        <f ca="1">ROUNDDOWN(F31 - (J31*CONFIG!$E$12 + CONFIG!$D$12*I31 + CONFIG!$C$12*H31)/CONFIG!$B$11,0)</f>
        <v>12</v>
      </c>
      <c r="H31">
        <f ca="1">ROUNDDOWN((F31- (I31*CONFIG!$D$12 + J31*CONFIG!$E$12))/CONFIG!$C$11,0)</f>
        <v>0</v>
      </c>
      <c r="I31">
        <f ca="1">ROUNDDOWN((F31 - J31*CONFIG!$E$12)/CONFIG!$D$12,0)</f>
        <v>0</v>
      </c>
      <c r="J31">
        <f ca="1">ROUNDDOWN(F31/CONFIG!$E$12,0)</f>
        <v>0</v>
      </c>
    </row>
    <row r="32" spans="1:10" x14ac:dyDescent="0.3">
      <c r="A32" t="s">
        <v>129</v>
      </c>
      <c r="B32" s="5">
        <v>5</v>
      </c>
      <c r="C32" s="34"/>
      <c r="D32" s="35" t="str">
        <f>IF(Tabela135[[#This Row],[Importa de]]="","",LOOKUP(Tabela135[[#This Row],[Importa de]],_xlfn.ANCHORARRAY(Relações!$A$2),Relações!$C$2:$C$53))</f>
        <v/>
      </c>
      <c r="E32" s="35">
        <f ca="1">Tabela135[[#This Row],[Mod]]*IF(Tabela135[[#This Row],[Mod Importação]]="",1,Tabela135[[#This Row],[Mod Importação]])*$G$1</f>
        <v>6.0060500000836328</v>
      </c>
      <c r="F32" s="34">
        <f ca="1">$B$2*EXP($B$3*Tabela135[[#This Row],[Mod Final]])/EXP($B$3)</f>
        <v>1493.1378035981936</v>
      </c>
      <c r="G32">
        <f ca="1">ROUNDDOWN(F32 - (J32*CONFIG!$E$12 + CONFIG!$D$12*I32 + CONFIG!$C$12*H32)/CONFIG!$B$11,0)</f>
        <v>13</v>
      </c>
      <c r="H32">
        <f ca="1">ROUNDDOWN((F32- (I32*CONFIG!$D$12 + J32*CONFIG!$E$12))/CONFIG!$C$11,0)</f>
        <v>14</v>
      </c>
      <c r="I32">
        <f ca="1">ROUNDDOWN((F32 - J32*CONFIG!$E$12)/CONFIG!$D$12,0)</f>
        <v>3</v>
      </c>
      <c r="J32">
        <f ca="1">ROUNDDOWN(F32/CONFIG!$E$12,0)</f>
        <v>0</v>
      </c>
    </row>
    <row r="33" spans="1:10" x14ac:dyDescent="0.3">
      <c r="A33" t="s">
        <v>130</v>
      </c>
      <c r="B33" s="5">
        <v>6</v>
      </c>
      <c r="C33" s="34"/>
      <c r="D33" s="35" t="str">
        <f>IF(Tabela135[[#This Row],[Importa de]]="","",LOOKUP(Tabela135[[#This Row],[Importa de]],_xlfn.ANCHORARRAY(Relações!$A$2),Relações!$C$2:$C$53))</f>
        <v/>
      </c>
      <c r="E33" s="35">
        <f ca="1">Tabela135[[#This Row],[Mod]]*IF(Tabela135[[#This Row],[Mod Importação]]="",1,Tabela135[[#This Row],[Mod Importação]])*$G$1</f>
        <v>7.2072600001003586</v>
      </c>
      <c r="F33" s="34">
        <f ca="1">$B$2*EXP($B$3*Tabela135[[#This Row],[Mod Final]])/EXP($B$3)</f>
        <v>4963.3941647386428</v>
      </c>
      <c r="G33">
        <f ca="1">ROUNDDOWN(F33 - (J33*CONFIG!$E$12 + CONFIG!$D$12*I33 + CONFIG!$C$12*H33)/CONFIG!$B$11,0)</f>
        <v>3</v>
      </c>
      <c r="H33">
        <f ca="1">ROUNDDOWN((F33- (I33*CONFIG!$D$12 + J33*CONFIG!$E$12))/CONFIG!$C$11,0)</f>
        <v>8</v>
      </c>
      <c r="I33">
        <f ca="1">ROUNDDOWN((F33 - J33*CONFIG!$E$12)/CONFIG!$D$12,0)</f>
        <v>12</v>
      </c>
      <c r="J33">
        <f ca="1">ROUNDDOWN(F33/CONFIG!$E$12,0)</f>
        <v>0</v>
      </c>
    </row>
    <row r="34" spans="1:10" x14ac:dyDescent="0.3">
      <c r="A34" t="s">
        <v>123</v>
      </c>
      <c r="B34" s="5">
        <v>2</v>
      </c>
      <c r="C34" s="11"/>
      <c r="D34" s="11" t="str">
        <f>IF(Tabela135[[#This Row],[Importa de]]="","",LOOKUP(Tabela135[[#This Row],[Importa de]],_xlfn.ANCHORARRAY(Relações!$A$2),Relações!$C$2:$C$53))</f>
        <v/>
      </c>
      <c r="E34" s="11">
        <f ca="1">Tabela135[[#This Row],[Mod]]*IF(Tabela135[[#This Row],[Mod Importação]]="",1,Tabela135[[#This Row],[Mod Importação]])*$G$1</f>
        <v>2.402420000033453</v>
      </c>
      <c r="F34" s="2">
        <f ca="1">$B$2*EXP($B$3*Tabela135[[#This Row],[Mod Final]])/EXP($B$3)</f>
        <v>40.650254349214791</v>
      </c>
      <c r="G34">
        <f ca="1">ROUNDDOWN(F34 - (J34*CONFIG!$E$12 + CONFIG!$D$12*I34 + CONFIG!$C$12*H34)/CONFIG!$B$11,0)</f>
        <v>0</v>
      </c>
      <c r="H34">
        <f ca="1">ROUNDDOWN((F34- (I34*CONFIG!$D$12 + J34*CONFIG!$E$12))/CONFIG!$C$11,0)</f>
        <v>2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122</v>
      </c>
      <c r="B35" s="5">
        <v>1.6</v>
      </c>
      <c r="C35" s="11"/>
      <c r="D35" s="11" t="str">
        <f>IF(Tabela135[[#This Row],[Importa de]]="","",LOOKUP(Tabela135[[#This Row],[Importa de]],_xlfn.ANCHORARRAY(Relações!$A$2),Relações!$C$2:$C$53))</f>
        <v/>
      </c>
      <c r="E35" s="11">
        <f ca="1">Tabela135[[#This Row],[Mod]]*IF(Tabela135[[#This Row],[Mod Importação]]="",1,Tabela135[[#This Row],[Mod Importação]])*$G$1</f>
        <v>1.9219360000267625</v>
      </c>
      <c r="F35" s="2">
        <f ca="1">$B$2*EXP($B$3*Tabela135[[#This Row],[Mod Final]])/EXP($B$3)</f>
        <v>25.141530817653056</v>
      </c>
      <c r="G35">
        <f ca="1">ROUNDDOWN(F35 - (J35*CONFIG!$E$12 + CONFIG!$D$12*I35 + CONFIG!$C$12*H35)/CONFIG!$B$11,0)</f>
        <v>5</v>
      </c>
      <c r="H35">
        <f ca="1">ROUNDDOWN((F35- (I35*CONFIG!$D$12 + J35*CONFIG!$E$12))/CONFIG!$C$11,0)</f>
        <v>1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118</v>
      </c>
      <c r="B36" s="5">
        <v>1.2</v>
      </c>
      <c r="C36" s="11"/>
      <c r="D36" s="11" t="str">
        <f>IF(Tabela135[[#This Row],[Importa de]]="","",LOOKUP(Tabela135[[#This Row],[Importa de]],_xlfn.ANCHORARRAY(Relações!$A$2),Relações!$C$2:$C$53))</f>
        <v/>
      </c>
      <c r="E36" s="11">
        <f ca="1">Tabela135[[#This Row],[Mod]]*IF(Tabela135[[#This Row],[Mod Importação]]="",1,Tabela135[[#This Row],[Mod Importação]])*$G$1</f>
        <v>1.4414520000200717</v>
      </c>
      <c r="F36" s="2">
        <f ca="1">$B$2*EXP($B$3*Tabela135[[#This Row],[Mod Final]])/EXP($B$3)</f>
        <v>15.549633870057388</v>
      </c>
      <c r="G36">
        <f ca="1">ROUNDDOWN(F36 - (J36*CONFIG!$E$12 + CONFIG!$D$12*I36 + CONFIG!$C$12*H36)/CONFIG!$B$11,0)</f>
        <v>15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150</v>
      </c>
      <c r="B37" s="5">
        <v>1</v>
      </c>
      <c r="C37" s="34"/>
      <c r="D37" s="35" t="str">
        <f>IF(Tabela135[[#This Row],[Importa de]]="","",LOOKUP(Tabela135[[#This Row],[Importa de]],_xlfn.ANCHORARRAY(Relações!$A$2),Relações!$C$2:$C$53))</f>
        <v/>
      </c>
      <c r="E37" s="35">
        <f ca="1">Tabela135[[#This Row],[Mod]]*IF(Tabela135[[#This Row],[Mod Importação]]="",1,Tabela135[[#This Row],[Mod Importação]])*$G$1</f>
        <v>1.2012100000167265</v>
      </c>
      <c r="F37" s="34">
        <f ca="1">$B$2*EXP($B$3*Tabela135[[#This Row],[Mod Final]])/EXP($B$3)</f>
        <v>12.228815500066281</v>
      </c>
      <c r="G37">
        <f ca="1">ROUNDDOWN(F37 - (J37*CONFIG!$E$12 + CONFIG!$D$12*I37 + CONFIG!$C$12*H37)/CONFIG!$B$11,0)</f>
        <v>12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151</v>
      </c>
      <c r="B38" s="5">
        <v>0.1</v>
      </c>
      <c r="C38" s="34"/>
      <c r="D38" s="35" t="str">
        <f>IF(Tabela135[[#This Row],[Importa de]]="","",LOOKUP(Tabela135[[#This Row],[Importa de]],_xlfn.ANCHORARRAY(Relações!$A$2),Relações!$C$2:$C$53))</f>
        <v/>
      </c>
      <c r="E38" s="35">
        <f ca="1">Tabela135[[#This Row],[Mod]]*IF(Tabela135[[#This Row],[Mod Importação]]="",1,Tabela135[[#This Row],[Mod Importação]])*$G$1</f>
        <v>0.12012100000167265</v>
      </c>
      <c r="F38" s="34">
        <f ca="1">$B$2*EXP($B$3*Tabela135[[#This Row],[Mod Final]])/EXP($B$3)</f>
        <v>4.1483310345112949</v>
      </c>
      <c r="G38">
        <f ca="1">ROUNDDOWN(F38 - (J38*CONFIG!$E$12 + CONFIG!$D$12*I38 + CONFIG!$C$12*H38)/CONFIG!$B$11,0)</f>
        <v>4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152</v>
      </c>
      <c r="B39" s="5">
        <v>2</v>
      </c>
      <c r="C39" s="34"/>
      <c r="D39" s="35" t="str">
        <f>IF(Tabela135[[#This Row],[Importa de]]="","",LOOKUP(Tabela135[[#This Row],[Importa de]],_xlfn.ANCHORARRAY(Relações!$A$2),Relações!$C$2:$C$53))</f>
        <v/>
      </c>
      <c r="E39" s="35">
        <f ca="1">Tabela135[[#This Row],[Mod]]*IF(Tabela135[[#This Row],[Mod Importação]]="",1,Tabela135[[#This Row],[Mod Importação]])*$G$1</f>
        <v>2.402420000033453</v>
      </c>
      <c r="F39" s="34">
        <f ca="1">$B$2*EXP($B$3*Tabela135[[#This Row],[Mod Final]])/EXP($B$3)</f>
        <v>40.650254349214791</v>
      </c>
      <c r="G39">
        <f ca="1">ROUNDDOWN(F39 - (J39*CONFIG!$E$12 + CONFIG!$D$12*I39 + CONFIG!$C$12*H39)/CONFIG!$B$11,0)</f>
        <v>0</v>
      </c>
      <c r="H39">
        <f ca="1">ROUNDDOWN((F39- (I39*CONFIG!$D$12 + J39*CONFIG!$E$12))/CONFIG!$C$11,0)</f>
        <v>2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B40" s="5"/>
      <c r="C40" s="11"/>
      <c r="F40" s="2"/>
    </row>
    <row r="41" spans="1:10" x14ac:dyDescent="0.3">
      <c r="B41" s="5"/>
      <c r="C41" s="11"/>
      <c r="F41" s="2"/>
    </row>
    <row r="42" spans="1:10" x14ac:dyDescent="0.3">
      <c r="B42" s="5"/>
      <c r="C42" s="11"/>
      <c r="F42" s="2"/>
    </row>
    <row r="43" spans="1:10" x14ac:dyDescent="0.3">
      <c r="B43" s="5"/>
      <c r="C43" s="11"/>
      <c r="F43" s="2"/>
    </row>
    <row r="44" spans="1:10" x14ac:dyDescent="0.3">
      <c r="B44" s="5"/>
      <c r="C44" s="11"/>
      <c r="F44" s="2"/>
    </row>
    <row r="45" spans="1:10" x14ac:dyDescent="0.3">
      <c r="B45" s="5"/>
      <c r="C45" s="11"/>
      <c r="F45" s="2"/>
    </row>
    <row r="46" spans="1:10" x14ac:dyDescent="0.3">
      <c r="B46" s="5"/>
      <c r="C46" s="11"/>
      <c r="F46" s="2"/>
    </row>
    <row r="47" spans="1:10" x14ac:dyDescent="0.3">
      <c r="B47" s="5"/>
      <c r="C47" s="11"/>
      <c r="F47" s="2"/>
    </row>
    <row r="48" spans="1:10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ED7587-BA74-403C-9C9A-74869FD70608}">
          <x14:formula1>
            <xm:f>CONFIG!$A$17:$A$67</xm:f>
          </x14:formula1>
          <xm:sqref>C5:C39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9C41-EF57-4E02-912B-5D50CF770F76}">
  <sheetPr codeName="Planilha6">
    <tabColor theme="5" tint="0.79998168889431442"/>
  </sheetPr>
  <dimension ref="A1:L62"/>
  <sheetViews>
    <sheetView workbookViewId="0">
      <selection activeCell="D22" sqref="D2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110</v>
      </c>
      <c r="G1" s="14">
        <f ca="1">CONFIG!D4</f>
        <v>1.2012100000167265</v>
      </c>
    </row>
    <row r="2" spans="1:12" x14ac:dyDescent="0.3">
      <c r="A2" t="s">
        <v>113</v>
      </c>
      <c r="B2" s="6">
        <v>600</v>
      </c>
      <c r="C2"/>
    </row>
    <row r="3" spans="1:12" x14ac:dyDescent="0.3">
      <c r="A3" t="s">
        <v>107</v>
      </c>
      <c r="B3" s="5">
        <v>2</v>
      </c>
      <c r="C3"/>
    </row>
    <row r="4" spans="1:12" x14ac:dyDescent="0.3">
      <c r="A4" s="1" t="s">
        <v>47</v>
      </c>
      <c r="B4" s="7" t="s">
        <v>14</v>
      </c>
      <c r="C4" s="3" t="s">
        <v>108</v>
      </c>
      <c r="D4" s="25" t="s">
        <v>106</v>
      </c>
      <c r="E4" s="25" t="s">
        <v>109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0</v>
      </c>
      <c r="B5" s="5">
        <v>1</v>
      </c>
      <c r="C5" s="11"/>
      <c r="D5" s="11" t="str">
        <f>IF(Tabela13[[#This Row],[Importa de]]="","",LOOKUP(Tabela13[[#This Row],[Importa de]],_xlfn.ANCHORARRAY(Relações!$A$2),Relações!$C$2:$C$53))</f>
        <v/>
      </c>
      <c r="E5" s="11">
        <f ca="1">Tabela13[[#This Row],[Mod]]*IF(Tabela13[[#This Row],[Mod Importação]]="",1,Tabela13[[#This Row],[Mod Importação]])*$G$1</f>
        <v>1.2012100000167265</v>
      </c>
      <c r="F5" s="2">
        <f ca="1">$B$2*EXP($B$3*Tabela13[[#This Row],[Mod Final]])/EXP($B$3)</f>
        <v>897.26357120796786</v>
      </c>
      <c r="G5">
        <f ca="1">ROUNDDOWN(F5 - (J5*CONFIG!$E$12 + CONFIG!$D$12*I5 + CONFIG!$C$12*H5)/CONFIG!$B$11,0)</f>
        <v>17</v>
      </c>
      <c r="H5">
        <f ca="1">ROUNDDOWN((F5- (I5*CONFIG!$D$12 + J5*CONFIG!$E$12))/CONFIG!$C$11,0)</f>
        <v>4</v>
      </c>
      <c r="I5">
        <f ca="1">ROUNDDOWN((F5 - J5*CONFIG!$E$12)/CONFIG!$D$12,0)</f>
        <v>2</v>
      </c>
      <c r="J5">
        <f ca="1">ROUNDDOWN(F5/CONFIG!$E$12,0)</f>
        <v>0</v>
      </c>
    </row>
    <row r="6" spans="1:12" x14ac:dyDescent="0.3">
      <c r="A6" t="s">
        <v>1</v>
      </c>
      <c r="B6" s="5">
        <v>1</v>
      </c>
      <c r="C6" s="11"/>
      <c r="D6" s="11" t="str">
        <f>IF(Tabela13[[#This Row],[Importa de]]="","",LOOKUP(Tabela13[[#This Row],[Importa de]],_xlfn.ANCHORARRAY(Relações!$A$2),Relações!$C$2:$C$53))</f>
        <v/>
      </c>
      <c r="E6" s="11">
        <f ca="1">Tabela13[[#This Row],[Mod]]*IF(Tabela13[[#This Row],[Mod Importação]]="",1,Tabela13[[#This Row],[Mod Importação]])*$G$1</f>
        <v>1.2012100000167265</v>
      </c>
      <c r="F6" s="2">
        <f ca="1">$B$2*EXP($B$3*Tabela13[[#This Row],[Mod Final]])/EXP($B$3)</f>
        <v>897.26357120796786</v>
      </c>
      <c r="G6">
        <f ca="1">ROUNDDOWN(F6 - (J6*CONFIG!$E$12 + CONFIG!$D$12*I6 + CONFIG!$C$12*H6)/CONFIG!$B$11,0)</f>
        <v>17</v>
      </c>
      <c r="H6">
        <f ca="1">ROUNDDOWN((F6- (I6*CONFIG!$D$12 + J6*CONFIG!$E$12))/CONFIG!$C$11,0)</f>
        <v>4</v>
      </c>
      <c r="I6">
        <f ca="1">ROUNDDOWN((F6 - J6*CONFIG!$E$12)/CONFIG!$D$12,0)</f>
        <v>2</v>
      </c>
      <c r="J6">
        <f ca="1">ROUNDDOWN(F6/CONFIG!$E$12,0)</f>
        <v>0</v>
      </c>
    </row>
    <row r="7" spans="1:12" x14ac:dyDescent="0.3">
      <c r="A7" t="s">
        <v>2</v>
      </c>
      <c r="B7" s="5">
        <v>1.25</v>
      </c>
      <c r="C7" s="11"/>
      <c r="D7" s="11" t="str">
        <f>IF(Tabela13[[#This Row],[Importa de]]="","",LOOKUP(Tabela13[[#This Row],[Importa de]],_xlfn.ANCHORARRAY(Relações!$A$2),Relações!$C$2:$C$53))</f>
        <v/>
      </c>
      <c r="E7" s="11">
        <f ca="1">Tabela13[[#This Row],[Mod]]*IF(Tabela13[[#This Row],[Mod Importação]]="",1,Tabela13[[#This Row],[Mod Importação]])*$G$1</f>
        <v>1.5015125000209082</v>
      </c>
      <c r="F7" s="2">
        <f ca="1">$B$2*EXP($B$3*Tabela13[[#This Row],[Mod Final]])/EXP($B$3)</f>
        <v>1635.9102483858569</v>
      </c>
      <c r="G7">
        <f ca="1">ROUNDDOWN(F7 - (J7*CONFIG!$E$12 + CONFIG!$D$12*I7 + CONFIG!$C$12*H7)/CONFIG!$B$11,0)</f>
        <v>15</v>
      </c>
      <c r="H7">
        <f ca="1">ROUNDDOWN((F7- (I7*CONFIG!$D$12 + J7*CONFIG!$E$12))/CONFIG!$C$11,0)</f>
        <v>1</v>
      </c>
      <c r="I7">
        <f ca="1">ROUNDDOWN((F7 - J7*CONFIG!$E$12)/CONFIG!$D$12,0)</f>
        <v>4</v>
      </c>
      <c r="J7">
        <f ca="1">ROUNDDOWN(F7/CONFIG!$E$12,0)</f>
        <v>0</v>
      </c>
      <c r="L7" t="s">
        <v>91</v>
      </c>
    </row>
    <row r="8" spans="1:12" x14ac:dyDescent="0.3">
      <c r="A8" t="s">
        <v>3</v>
      </c>
      <c r="B8" s="5">
        <v>1.5</v>
      </c>
      <c r="C8" s="11"/>
      <c r="D8" s="11" t="str">
        <f>IF(Tabela13[[#This Row],[Importa de]]="","",LOOKUP(Tabela13[[#This Row],[Importa de]],_xlfn.ANCHORARRAY(Relações!$A$2),Relações!$C$2:$C$53))</f>
        <v/>
      </c>
      <c r="E8" s="11">
        <f ca="1">Tabela13[[#This Row],[Mod]]*IF(Tabela13[[#This Row],[Mod Importação]]="",1,Tabela13[[#This Row],[Mod Importação]])*$G$1</f>
        <v>1.8018150000250897</v>
      </c>
      <c r="F8" s="2">
        <f ca="1">$B$2*EXP($B$3*Tabela13[[#This Row],[Mod Final]])/EXP($B$3)</f>
        <v>2982.6267628038863</v>
      </c>
      <c r="G8">
        <f ca="1">ROUNDDOWN(F8 - (J8*CONFIG!$E$12 + CONFIG!$D$12*I8 + CONFIG!$C$12*H8)/CONFIG!$B$11,0)</f>
        <v>2</v>
      </c>
      <c r="H8">
        <f ca="1">ROUNDDOWN((F8- (I8*CONFIG!$D$12 + J8*CONFIG!$E$12))/CONFIG!$C$11,0)</f>
        <v>9</v>
      </c>
      <c r="I8">
        <f ca="1">ROUNDDOWN((F8 - J8*CONFIG!$E$12)/CONFIG!$D$12,0)</f>
        <v>7</v>
      </c>
      <c r="J8">
        <f ca="1">ROUNDDOWN(F8/CONFIG!$E$12,0)</f>
        <v>0</v>
      </c>
    </row>
    <row r="9" spans="1:12" x14ac:dyDescent="0.3">
      <c r="A9" t="s">
        <v>4</v>
      </c>
      <c r="B9" s="5">
        <v>2</v>
      </c>
      <c r="C9" s="11" t="s">
        <v>115</v>
      </c>
      <c r="D9" s="11">
        <f ca="1">IF(Tabela13[[#This Row],[Importa de]]="","",LOOKUP(Tabela13[[#This Row],[Importa de]],_xlfn.ANCHORARRAY(Relações!$A$2),Relações!$C$2:$C$53))</f>
        <v>1.1000000000000001</v>
      </c>
      <c r="E9" s="11">
        <f ca="1">Tabela13[[#This Row],[Mod]]*IF(Tabela13[[#This Row],[Mod Importação]]="",1,Tabela13[[#This Row],[Mod Importação]])*$G$1</f>
        <v>2.6426620000367986</v>
      </c>
      <c r="F9" s="2">
        <f ca="1">$B$2*EXP($B$3*Tabela13[[#This Row],[Mod Final]])/EXP($B$3)</f>
        <v>16030.58365789424</v>
      </c>
      <c r="G9">
        <f ca="1">ROUNDDOWN(F9 - (J9*CONFIG!$E$12 + CONFIG!$D$12*I9 + CONFIG!$C$12*H9)/CONFIG!$B$11,0)</f>
        <v>10</v>
      </c>
      <c r="H9">
        <f ca="1">ROUNDDOWN((F9- (I9*CONFIG!$D$12 + J9*CONFIG!$E$12))/CONFIG!$C$11,0)</f>
        <v>1</v>
      </c>
      <c r="I9">
        <f ca="1">ROUNDDOWN((F9 - J9*CONFIG!$E$12)/CONFIG!$D$12,0)</f>
        <v>40</v>
      </c>
      <c r="J9">
        <f ca="1">ROUNDDOWN(F9/CONFIG!$E$12,0)</f>
        <v>0</v>
      </c>
    </row>
    <row r="10" spans="1:12" x14ac:dyDescent="0.3">
      <c r="A10" t="s">
        <v>5</v>
      </c>
      <c r="B10" s="5">
        <v>3.5</v>
      </c>
      <c r="C10" s="11"/>
      <c r="D10" s="11" t="str">
        <f>IF(Tabela13[[#This Row],[Importa de]]="","",LOOKUP(Tabela13[[#This Row],[Importa de]],_xlfn.ANCHORARRAY(Relações!$A$2),Relações!$C$2:$C$53))</f>
        <v/>
      </c>
      <c r="E10" s="11">
        <f ca="1">Tabela13[[#This Row],[Mod]]*IF(Tabela13[[#This Row],[Mod Importação]]="",1,Tabela13[[#This Row],[Mod Importação]])*$G$1</f>
        <v>4.2042350000585431</v>
      </c>
      <c r="F10" s="2">
        <f ca="1">$B$2*EXP($B$3*Tabela13[[#This Row],[Mod Final]])/EXP($B$3)</f>
        <v>364178.58896816702</v>
      </c>
      <c r="G10">
        <f ca="1">ROUNDDOWN(F10 - (J10*CONFIG!$E$12 + CONFIG!$D$12*I10 + CONFIG!$C$12*H10)/CONFIG!$B$11,0)</f>
        <v>18</v>
      </c>
      <c r="H10">
        <f ca="1">ROUNDDOWN((F10- (I10*CONFIG!$D$12 + J10*CONFIG!$E$12))/CONFIG!$C$11,0)</f>
        <v>8</v>
      </c>
      <c r="I10">
        <f ca="1">ROUNDDOWN((F10 - J10*CONFIG!$E$12)/CONFIG!$D$12,0)</f>
        <v>110</v>
      </c>
      <c r="J10">
        <f ca="1">ROUNDDOWN(F10/CONFIG!$E$12,0)</f>
        <v>2</v>
      </c>
    </row>
    <row r="11" spans="1:12" x14ac:dyDescent="0.3">
      <c r="A11" t="s">
        <v>6</v>
      </c>
      <c r="B11" s="5">
        <v>4.5</v>
      </c>
      <c r="C11" s="11" t="s">
        <v>114</v>
      </c>
      <c r="D11" s="11">
        <f ca="1">IF(Tabela13[[#This Row],[Importa de]]="","",LOOKUP(Tabela13[[#This Row],[Importa de]],_xlfn.ANCHORARRAY(Relações!$A$2),Relações!$C$2:$C$53))</f>
        <v>1.1000000000000001</v>
      </c>
      <c r="E11" s="11">
        <f ca="1">Tabela13[[#This Row],[Mod]]*IF(Tabela13[[#This Row],[Mod Importação]]="",1,Tabela13[[#This Row],[Mod Importação]])*$G$1</f>
        <v>5.9459895000827965</v>
      </c>
      <c r="F11" s="2">
        <f ca="1">$B$2*EXP($B$3*Tabela13[[#This Row],[Mod Final]])/EXP($B$3)</f>
        <v>11862689.012429141</v>
      </c>
      <c r="G11">
        <f ca="1">ROUNDDOWN(F11 - (J11*CONFIG!$E$12 + CONFIG!$D$12*I11 + CONFIG!$C$12*H11)/CONFIG!$B$11,0)</f>
        <v>9</v>
      </c>
      <c r="H11">
        <f ca="1">ROUNDDOWN((F11- (I11*CONFIG!$D$12 + J11*CONFIG!$E$12))/CONFIG!$C$11,0)</f>
        <v>14</v>
      </c>
      <c r="I11">
        <f ca="1">ROUNDDOWN((F11 - J11*CONFIG!$E$12)/CONFIG!$D$12,0)</f>
        <v>56</v>
      </c>
      <c r="J11">
        <f ca="1">ROUNDDOWN(F11/CONFIG!$E$12,0)</f>
        <v>74</v>
      </c>
    </row>
    <row r="12" spans="1:12" x14ac:dyDescent="0.3">
      <c r="B12" s="5"/>
      <c r="C12" s="11"/>
      <c r="F12" s="2"/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7F5ED-878C-47A2-B762-16FF6F2D267E}">
          <x14:formula1>
            <xm:f>CONFIG!$A$17:$A$67</xm:f>
          </x14:formula1>
          <xm:sqref>C5:C11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2B79-54A6-4CA6-A750-16F6006BF9AC}">
  <sheetPr codeName="Planilha8">
    <tabColor theme="5" tint="0.39997558519241921"/>
  </sheetPr>
  <dimension ref="A1:L62"/>
  <sheetViews>
    <sheetView workbookViewId="0">
      <selection activeCell="E19" sqref="E19"/>
    </sheetView>
  </sheetViews>
  <sheetFormatPr defaultRowHeight="14.4" x14ac:dyDescent="0.3"/>
  <cols>
    <col min="1" max="1" width="23.33203125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110</v>
      </c>
      <c r="G1" s="14">
        <f ca="1">CONFIG!D4</f>
        <v>1.2012100000167265</v>
      </c>
    </row>
    <row r="2" spans="1:12" x14ac:dyDescent="0.3">
      <c r="A2" t="s">
        <v>113</v>
      </c>
      <c r="B2" s="6">
        <v>2</v>
      </c>
      <c r="C2"/>
    </row>
    <row r="3" spans="1:12" x14ac:dyDescent="0.3">
      <c r="A3" t="s">
        <v>107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108</v>
      </c>
      <c r="D4" s="25" t="s">
        <v>106</v>
      </c>
      <c r="E4" s="25" t="s">
        <v>109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165</v>
      </c>
      <c r="B5" s="5">
        <v>4</v>
      </c>
      <c r="C5" s="11"/>
      <c r="D5" s="11" t="str">
        <f>IF(Tabela136[[#This Row],[Importa de]]="","",LOOKUP(Tabela136[[#This Row],[Importa de]],_xlfn.ANCHORARRAY(Relações!$A$2),Relações!$C$2:$C$53))</f>
        <v/>
      </c>
      <c r="E5" s="11">
        <f ca="1">Tabela136[[#This Row],[Mod]]*IF(Tabela136[[#This Row],[Mod Importação]]="",1,Tabela136[[#This Row],[Mod Importação]])*$G$1</f>
        <v>4.804840000066906</v>
      </c>
      <c r="F5" s="2">
        <f ca="1">$B$2*EXP($B$3*Tabela136[[#This Row],[Mod Final]])/EXP($B$3)</f>
        <v>89.836125302026346</v>
      </c>
      <c r="G5">
        <f ca="1">ROUNDDOWN(F5 - (J5*CONFIG!$E$12 + CONFIG!$D$12*I5 + CONFIG!$C$12*H5)/CONFIG!$B$11,0)</f>
        <v>9</v>
      </c>
      <c r="H5">
        <f ca="1">ROUNDDOWN((F5- (I5*CONFIG!$D$12 + J5*CONFIG!$E$12))/CONFIG!$C$11,0)</f>
        <v>4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163</v>
      </c>
      <c r="B6" s="5">
        <v>3</v>
      </c>
      <c r="C6" s="11"/>
      <c r="D6" s="11" t="str">
        <f>IF(Tabela136[[#This Row],[Importa de]]="","",LOOKUP(Tabela136[[#This Row],[Importa de]],_xlfn.ANCHORARRAY(Relações!$A$2),Relações!$C$2:$C$53))</f>
        <v/>
      </c>
      <c r="E6" s="11">
        <f ca="1">Tabela136[[#This Row],[Mod]]*IF(Tabela136[[#This Row],[Mod Importação]]="",1,Tabela136[[#This Row],[Mod Importação]])*$G$1</f>
        <v>3.6036300000501793</v>
      </c>
      <c r="F6" s="2">
        <f ca="1">$B$2*EXP($B$3*Tabela136[[#This Row],[Mod Final]])/EXP($B$3)</f>
        <v>27.025400434684773</v>
      </c>
      <c r="G6">
        <f ca="1">ROUNDDOWN(F6 - (J6*CONFIG!$E$12 + CONFIG!$D$12*I6 + CONFIG!$C$12*H6)/CONFIG!$B$11,0)</f>
        <v>7</v>
      </c>
      <c r="H6">
        <f ca="1">ROUNDDOWN((F6- (I6*CONFIG!$D$12 + J6*CONFIG!$E$12))/CONFIG!$C$11,0)</f>
        <v>1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164</v>
      </c>
      <c r="B7" s="5">
        <v>5</v>
      </c>
      <c r="C7" s="11"/>
      <c r="D7" s="11" t="str">
        <f>IF(Tabela136[[#This Row],[Importa de]]="","",LOOKUP(Tabela136[[#This Row],[Importa de]],_xlfn.ANCHORARRAY(Relações!$A$2),Relações!$C$2:$C$53))</f>
        <v/>
      </c>
      <c r="E7" s="11">
        <f ca="1">Tabela136[[#This Row],[Mod]]*IF(Tabela136[[#This Row],[Mod Importação]]="",1,Tabela136[[#This Row],[Mod Importação]])*$G$1</f>
        <v>6.0060500000836328</v>
      </c>
      <c r="F7" s="2">
        <f ca="1">$B$2*EXP($B$3*Tabela136[[#This Row],[Mod Final]])/EXP($B$3)</f>
        <v>298.62756071963872</v>
      </c>
      <c r="G7">
        <f ca="1">ROUNDDOWN(F7 - (J7*CONFIG!$E$12 + CONFIG!$D$12*I7 + CONFIG!$C$12*H7)/CONFIG!$B$11,0)</f>
        <v>18</v>
      </c>
      <c r="H7">
        <f ca="1">ROUNDDOWN((F7- (I7*CONFIG!$D$12 + J7*CONFIG!$E$12))/CONFIG!$C$11,0)</f>
        <v>14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162</v>
      </c>
      <c r="B8" s="5">
        <v>2.75</v>
      </c>
      <c r="C8" s="11"/>
      <c r="D8" s="11" t="str">
        <f>IF(Tabela136[[#This Row],[Importa de]]="","",LOOKUP(Tabela136[[#This Row],[Importa de]],_xlfn.ANCHORARRAY(Relações!$A$2),Relações!$C$2:$C$53))</f>
        <v/>
      </c>
      <c r="E8" s="11">
        <f ca="1">Tabela136[[#This Row],[Mod]]*IF(Tabela136[[#This Row],[Mod Importação]]="",1,Tabela136[[#This Row],[Mod Importação]])*$G$1</f>
        <v>3.3033275000459978</v>
      </c>
      <c r="F8" s="2">
        <f ca="1">$B$2*EXP($B$3*Tabela136[[#This Row],[Mod Final]])/EXP($B$3)</f>
        <v>20.014853654085577</v>
      </c>
      <c r="G8">
        <f ca="1">ROUNDDOWN(F8 - (J8*CONFIG!$E$12 + CONFIG!$D$12*I8 + CONFIG!$C$12*H8)/CONFIG!$B$11,0)</f>
        <v>0</v>
      </c>
      <c r="H8">
        <f ca="1">ROUNDDOWN((F8- (I8*CONFIG!$D$12 + J8*CONFIG!$E$12))/CONFIG!$C$11,0)</f>
        <v>1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160</v>
      </c>
      <c r="B9" s="5">
        <v>2</v>
      </c>
      <c r="C9" s="11"/>
      <c r="D9" s="11" t="str">
        <f>IF(Tabela136[[#This Row],[Importa de]]="","",LOOKUP(Tabela136[[#This Row],[Importa de]],_xlfn.ANCHORARRAY(Relações!$A$2),Relações!$C$2:$C$53))</f>
        <v/>
      </c>
      <c r="E9" s="11">
        <f ca="1">Tabela136[[#This Row],[Mod]]*IF(Tabela136[[#This Row],[Mod Importação]]="",1,Tabela136[[#This Row],[Mod Importação]])*$G$1</f>
        <v>2.402420000033453</v>
      </c>
      <c r="F9" s="2">
        <f ca="1">$B$2*EXP($B$3*Tabela136[[#This Row],[Mod Final]])/EXP($B$3)</f>
        <v>8.1300508698429592</v>
      </c>
      <c r="G9">
        <f ca="1">ROUNDDOWN(F9 - (J9*CONFIG!$E$12 + CONFIG!$D$12*I9 + CONFIG!$C$12*H9)/CONFIG!$B$11,0)</f>
        <v>8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161</v>
      </c>
      <c r="B10" s="5">
        <v>3.5</v>
      </c>
      <c r="C10" s="11"/>
      <c r="D10" s="11" t="str">
        <f>IF(Tabela136[[#This Row],[Importa de]]="","",LOOKUP(Tabela136[[#This Row],[Importa de]],_xlfn.ANCHORARRAY(Relações!$A$2),Relações!$C$2:$C$53))</f>
        <v/>
      </c>
      <c r="E10" s="11">
        <f ca="1">Tabela136[[#This Row],[Mod]]*IF(Tabela136[[#This Row],[Mod Importação]]="",1,Tabela136[[#This Row],[Mod Importação]])*$G$1</f>
        <v>4.2042350000585431</v>
      </c>
      <c r="F10" s="2">
        <f ca="1">$B$2*EXP($B$3*Tabela136[[#This Row],[Mod Final]])/EXP($B$3)</f>
        <v>49.273291546108233</v>
      </c>
      <c r="G10">
        <f ca="1">ROUNDDOWN(F10 - (J10*CONFIG!$E$12 + CONFIG!$D$12*I10 + CONFIG!$C$12*H10)/CONFIG!$B$11,0)</f>
        <v>9</v>
      </c>
      <c r="H10">
        <f ca="1">ROUNDDOWN((F10- (I10*CONFIG!$D$12 + J10*CONFIG!$E$12))/CONFIG!$C$11,0)</f>
        <v>2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159</v>
      </c>
      <c r="B11" s="5">
        <v>1</v>
      </c>
      <c r="C11" s="11"/>
      <c r="D11" s="11" t="str">
        <f>IF(Tabela136[[#This Row],[Importa de]]="","",LOOKUP(Tabela136[[#This Row],[Importa de]],_xlfn.ANCHORARRAY(Relações!$A$2),Relações!$C$2:$C$53))</f>
        <v/>
      </c>
      <c r="E11" s="11">
        <f ca="1">Tabela136[[#This Row],[Mod]]*IF(Tabela136[[#This Row],[Mod Importação]]="",1,Tabela136[[#This Row],[Mod Importação]])*$G$1</f>
        <v>1.2012100000167265</v>
      </c>
      <c r="F11" s="2">
        <f ca="1">$B$2*EXP($B$3*Tabela136[[#This Row],[Mod Final]])/EXP($B$3)</f>
        <v>2.4457631000132563</v>
      </c>
      <c r="G11">
        <f ca="1">ROUNDDOWN(F11 - (J11*CONFIG!$E$12 + CONFIG!$D$12*I11 + CONFIG!$C$12*H11)/CONFIG!$B$11,0)</f>
        <v>2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166</v>
      </c>
      <c r="B12" s="5">
        <v>5.3</v>
      </c>
      <c r="C12" s="34"/>
      <c r="D12" s="35" t="str">
        <f>IF(Tabela136[[#This Row],[Importa de]]="","",LOOKUP(Tabela136[[#This Row],[Importa de]],_xlfn.ANCHORARRAY(Relações!$A$2),Relações!$C$2:$C$53))</f>
        <v/>
      </c>
      <c r="E12" s="35">
        <f ca="1">Tabela136[[#This Row],[Mod]]*IF(Tabela136[[#This Row],[Mod Importação]]="",1,Tabela136[[#This Row],[Mod Importação]])*$G$1</f>
        <v>6.3664130000886505</v>
      </c>
      <c r="F12" s="34">
        <f ca="1">$B$2*EXP($B$3*Tabela136[[#This Row],[Mod Final]])/EXP($B$3)</f>
        <v>428.18707047911607</v>
      </c>
      <c r="G12">
        <f ca="1">ROUNDDOWN(F12 - (J12*CONFIG!$E$12 + CONFIG!$D$12*I12 + CONFIG!$C$12*H12)/CONFIG!$B$11,0)</f>
        <v>8</v>
      </c>
      <c r="H12">
        <f ca="1">ROUNDDOWN((F12- (I12*CONFIG!$D$12 + J12*CONFIG!$E$12))/CONFIG!$C$11,0)</f>
        <v>1</v>
      </c>
      <c r="I12">
        <f ca="1">ROUNDDOWN((F12 - J12*CONFIG!$E$12)/CONFIG!$D$12,0)</f>
        <v>1</v>
      </c>
      <c r="J12">
        <f ca="1">ROUNDDOWN(F12/CONFIG!$E$12,0)</f>
        <v>0</v>
      </c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3DE468-FB45-4802-A007-5653EA97F9FF}">
          <x14:formula1>
            <xm:f>CONFIG!$A$17:$A$67</xm:f>
          </x14:formula1>
          <xm:sqref>C5:C12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3D440-A88E-415B-89B6-A2B1F3A02A45}">
  <sheetPr codeName="Planilha2">
    <tabColor theme="7" tint="0.79998168889431442"/>
  </sheetPr>
  <dimension ref="A1:H20"/>
  <sheetViews>
    <sheetView workbookViewId="0">
      <selection activeCell="B4" sqref="B4"/>
    </sheetView>
  </sheetViews>
  <sheetFormatPr defaultRowHeight="14.4" x14ac:dyDescent="0.3"/>
  <cols>
    <col min="1" max="1" width="22.109375" bestFit="1" customWidth="1"/>
    <col min="3" max="3" width="9.5546875" customWidth="1"/>
    <col min="4" max="4" width="13.6640625" bestFit="1" customWidth="1"/>
    <col min="5" max="5" width="7.6640625" bestFit="1" customWidth="1"/>
    <col min="6" max="6" width="12.33203125" bestFit="1" customWidth="1"/>
  </cols>
  <sheetData>
    <row r="1" spans="1:8" x14ac:dyDescent="0.3">
      <c r="A1" s="1" t="s">
        <v>13</v>
      </c>
      <c r="B1" s="5"/>
      <c r="C1" s="2"/>
      <c r="F1" s="26" t="s">
        <v>110</v>
      </c>
      <c r="G1" s="14">
        <f ca="1">CONFIG!D4</f>
        <v>1.2012100000167265</v>
      </c>
    </row>
    <row r="2" spans="1:8" x14ac:dyDescent="0.3">
      <c r="A2" t="s">
        <v>113</v>
      </c>
      <c r="B2" s="2">
        <v>4000</v>
      </c>
    </row>
    <row r="3" spans="1:8" x14ac:dyDescent="0.3">
      <c r="A3" t="s">
        <v>107</v>
      </c>
      <c r="B3" s="5">
        <v>3</v>
      </c>
    </row>
    <row r="4" spans="1:8" x14ac:dyDescent="0.3">
      <c r="A4" s="27" t="s">
        <v>116</v>
      </c>
      <c r="B4" s="28" t="s">
        <v>14</v>
      </c>
      <c r="C4" s="28" t="s">
        <v>109</v>
      </c>
      <c r="D4" s="29" t="s">
        <v>7</v>
      </c>
      <c r="E4" s="30" t="s">
        <v>10</v>
      </c>
      <c r="F4" s="30" t="s">
        <v>8</v>
      </c>
      <c r="G4" s="30" t="s">
        <v>9</v>
      </c>
      <c r="H4" s="30" t="s">
        <v>12</v>
      </c>
    </row>
    <row r="5" spans="1:8" x14ac:dyDescent="0.3">
      <c r="A5" t="s">
        <v>15</v>
      </c>
      <c r="B5" s="5">
        <v>0.02</v>
      </c>
      <c r="C5" s="5">
        <f ca="1">Tabela3[[#This Row],[Mod]]*$G$1</f>
        <v>2.402420000033453E-2</v>
      </c>
      <c r="D5" s="2">
        <f ca="1">$B$2*EXP($B$3*Tabela3[[#This Row],[Mod Final]])/EXP($B$3)</f>
        <v>214.03129445533386</v>
      </c>
      <c r="E5">
        <f ca="1">ROUNDDOWN(D5 - (H5*CONFIG!$E$12 + CONFIG!$D$12*G5 + CONFIG!$C$12*F5)/CONFIG!$B$11,0)</f>
        <v>14</v>
      </c>
      <c r="F5">
        <f ca="1">ROUNDDOWN((D5- (G5*CONFIG!$D$12 + H5*CONFIG!$E$12))/CONFIG!$C$11,0)</f>
        <v>10</v>
      </c>
      <c r="G5">
        <f ca="1">ROUNDDOWN((D5 - H5*CONFIG!$E$12)/CONFIG!$D$12,0)</f>
        <v>0</v>
      </c>
      <c r="H5">
        <f ca="1">ROUNDDOWN(D5/CONFIG!$E$12,0)</f>
        <v>0</v>
      </c>
    </row>
    <row r="6" spans="1:8" x14ac:dyDescent="0.3">
      <c r="A6" t="s">
        <v>17</v>
      </c>
      <c r="B6" s="5">
        <v>1</v>
      </c>
      <c r="C6" s="5">
        <f ca="1">Tabela3[[#This Row],[Mod]]*$G$1</f>
        <v>1.2012100000167265</v>
      </c>
      <c r="D6" s="2">
        <f ca="1">$B$2*EXP($B$3*Tabela3[[#This Row],[Mod Final]])/EXP($B$3)</f>
        <v>7314.9804448218792</v>
      </c>
      <c r="E6">
        <f ca="1">ROUNDDOWN(D6 - (H6*CONFIG!$E$12 + CONFIG!$D$12*G6 + CONFIG!$C$12*F6)/CONFIG!$B$11,0)</f>
        <v>14</v>
      </c>
      <c r="F6">
        <f ca="1">ROUNDDOWN((D6- (G6*CONFIG!$D$12 + H6*CONFIG!$E$12))/CONFIG!$C$11,0)</f>
        <v>5</v>
      </c>
      <c r="G6">
        <f ca="1">ROUNDDOWN((D6 - H6*CONFIG!$E$12)/CONFIG!$D$12,0)</f>
        <v>18</v>
      </c>
      <c r="H6">
        <f ca="1">ROUNDDOWN(D6/CONFIG!$E$12,0)</f>
        <v>0</v>
      </c>
    </row>
    <row r="7" spans="1:8" x14ac:dyDescent="0.3">
      <c r="A7" t="s">
        <v>16</v>
      </c>
      <c r="B7" s="5">
        <v>1.2</v>
      </c>
      <c r="C7" s="5">
        <f ca="1">Tabela3[[#This Row],[Mod]]*$G$1</f>
        <v>1.4414520000200717</v>
      </c>
      <c r="D7" s="2">
        <f ca="1">$B$2*EXP($B$3*Tabela3[[#This Row],[Mod Final]])/EXP($B$3)</f>
        <v>15039.05315138836</v>
      </c>
      <c r="E7">
        <f ca="1">ROUNDDOWN(D7 - (H7*CONFIG!$E$12 + CONFIG!$D$12*G7 + CONFIG!$C$12*F7)/CONFIG!$B$11,0)</f>
        <v>19</v>
      </c>
      <c r="F7">
        <f ca="1">ROUNDDOWN((D7- (G7*CONFIG!$D$12 + H7*CONFIG!$E$12))/CONFIG!$C$11,0)</f>
        <v>11</v>
      </c>
      <c r="G7">
        <f ca="1">ROUNDDOWN((D7 - H7*CONFIG!$E$12)/CONFIG!$D$12,0)</f>
        <v>37</v>
      </c>
      <c r="H7">
        <f ca="1">ROUNDDOWN(D7/CONFIG!$E$12,0)</f>
        <v>0</v>
      </c>
    </row>
    <row r="8" spans="1:8" x14ac:dyDescent="0.3">
      <c r="A8" t="s">
        <v>18</v>
      </c>
      <c r="B8" s="5">
        <v>1.8</v>
      </c>
      <c r="C8" s="5">
        <f ca="1">Tabela3[[#This Row],[Mod]]*$G$1</f>
        <v>2.1621780000301078</v>
      </c>
      <c r="D8" s="2">
        <f ca="1">$B$2*EXP($B$3*Tabela3[[#This Row],[Mod Final]])/EXP($B$3)</f>
        <v>130690.03327384409</v>
      </c>
      <c r="E8">
        <f ca="1">ROUNDDOWN(D8 - (H8*CONFIG!$E$12 + CONFIG!$D$12*G8 + CONFIG!$C$12*F8)/CONFIG!$B$11,0)</f>
        <v>10</v>
      </c>
      <c r="F8">
        <f ca="1">ROUNDDOWN((D8- (G8*CONFIG!$D$12 + H8*CONFIG!$E$12))/CONFIG!$C$11,0)</f>
        <v>14</v>
      </c>
      <c r="G8">
        <f ca="1">ROUNDDOWN((D8 - H8*CONFIG!$E$12)/CONFIG!$D$12,0)</f>
        <v>326</v>
      </c>
      <c r="H8">
        <f ca="1">ROUNDDOWN(D8/CONFIG!$E$12,0)</f>
        <v>0</v>
      </c>
    </row>
    <row r="9" spans="1:8" x14ac:dyDescent="0.3">
      <c r="A9" t="s">
        <v>19</v>
      </c>
      <c r="B9" s="5">
        <v>1.2</v>
      </c>
      <c r="C9" s="5">
        <f ca="1">Tabela3[[#This Row],[Mod]]*$G$1</f>
        <v>1.4414520000200717</v>
      </c>
      <c r="D9" s="2">
        <f ca="1">$B$2*EXP($B$3*Tabela3[[#This Row],[Mod Final]])/EXP($B$3)</f>
        <v>15039.05315138836</v>
      </c>
      <c r="E9">
        <f ca="1">ROUNDDOWN(D9 - (H9*CONFIG!$E$12 + CONFIG!$D$12*G9 + CONFIG!$C$12*F9)/CONFIG!$B$11,0)</f>
        <v>19</v>
      </c>
      <c r="F9">
        <f ca="1">ROUNDDOWN((D9- (G9*CONFIG!$D$12 + H9*CONFIG!$E$12))/CONFIG!$C$11,0)</f>
        <v>11</v>
      </c>
      <c r="G9">
        <f ca="1">ROUNDDOWN((D9 - H9*CONFIG!$E$12)/CONFIG!$D$12,0)</f>
        <v>37</v>
      </c>
      <c r="H9">
        <f ca="1">ROUNDDOWN(D9/CONFIG!$E$12,0)</f>
        <v>0</v>
      </c>
    </row>
    <row r="10" spans="1:8" x14ac:dyDescent="0.3">
      <c r="A10" t="s">
        <v>20</v>
      </c>
      <c r="B10" s="5">
        <v>1.4</v>
      </c>
      <c r="C10" s="5">
        <f ca="1">Tabela3[[#This Row],[Mod]]*$G$1</f>
        <v>1.6816940000234171</v>
      </c>
      <c r="D10" s="2">
        <f ca="1">$B$2*EXP($B$3*Tabela3[[#This Row],[Mod Final]])/EXP($B$3)</f>
        <v>30919.169421756633</v>
      </c>
      <c r="E10">
        <f ca="1">ROUNDDOWN(D10 - (H10*CONFIG!$E$12 + CONFIG!$D$12*G10 + CONFIG!$C$12*F10)/CONFIG!$B$11,0)</f>
        <v>19</v>
      </c>
      <c r="F10">
        <f ca="1">ROUNDDOWN((D10- (G10*CONFIG!$D$12 + H10*CONFIG!$E$12))/CONFIG!$C$11,0)</f>
        <v>5</v>
      </c>
      <c r="G10">
        <f ca="1">ROUNDDOWN((D10 - H10*CONFIG!$E$12)/CONFIG!$D$12,0)</f>
        <v>77</v>
      </c>
      <c r="H10">
        <f ca="1">ROUNDDOWN(D10/CONFIG!$E$12,0)</f>
        <v>0</v>
      </c>
    </row>
    <row r="11" spans="1:8" x14ac:dyDescent="0.3">
      <c r="A11" t="s">
        <v>21</v>
      </c>
      <c r="B11" s="5">
        <v>2.1</v>
      </c>
      <c r="C11" s="5">
        <f ca="1">Tabela3[[#This Row],[Mod]]*$G$1</f>
        <v>2.5225410000351256</v>
      </c>
      <c r="D11" s="2">
        <f ca="1">$B$2*EXP($B$3*Tabela3[[#This Row],[Mod Final]])/EXP($B$3)</f>
        <v>385259.58784570335</v>
      </c>
      <c r="E11">
        <f ca="1">ROUNDDOWN(D11 - (H11*CONFIG!$E$12 + CONFIG!$D$12*G11 + CONFIG!$C$12*F11)/CONFIG!$B$11,0)</f>
        <v>19</v>
      </c>
      <c r="F11">
        <f ca="1">ROUNDDOWN((D11- (G11*CONFIG!$D$12 + H11*CONFIG!$E$12))/CONFIG!$C$11,0)</f>
        <v>2</v>
      </c>
      <c r="G11">
        <f ca="1">ROUNDDOWN((D11 - H11*CONFIG!$E$12)/CONFIG!$D$12,0)</f>
        <v>163</v>
      </c>
      <c r="H11">
        <f ca="1">ROUNDDOWN(D11/CONFIG!$E$12,0)</f>
        <v>2</v>
      </c>
    </row>
    <row r="12" spans="1:8" x14ac:dyDescent="0.3">
      <c r="A12" t="s">
        <v>22</v>
      </c>
      <c r="B12" s="5">
        <v>1.4</v>
      </c>
      <c r="C12" s="5">
        <f ca="1">Tabela3[[#This Row],[Mod]]*$G$1</f>
        <v>1.6816940000234171</v>
      </c>
      <c r="D12" s="2">
        <f ca="1">$B$2*EXP($B$3*Tabela3[[#This Row],[Mod Final]])/EXP($B$3)</f>
        <v>30919.169421756633</v>
      </c>
      <c r="E12">
        <f ca="1">ROUNDDOWN(D12 - (H12*CONFIG!$E$12 + CONFIG!$D$12*G12 + CONFIG!$C$12*F12)/CONFIG!$B$11,0)</f>
        <v>19</v>
      </c>
      <c r="F12">
        <f ca="1">ROUNDDOWN((D12- (G12*CONFIG!$D$12 + H12*CONFIG!$E$12))/CONFIG!$C$11,0)</f>
        <v>5</v>
      </c>
      <c r="G12">
        <f ca="1">ROUNDDOWN((D12 - H12*CONFIG!$E$12)/CONFIG!$D$12,0)</f>
        <v>77</v>
      </c>
      <c r="H12">
        <f ca="1">ROUNDDOWN(D12/CONFIG!$E$12,0)</f>
        <v>0</v>
      </c>
    </row>
    <row r="13" spans="1:8" x14ac:dyDescent="0.3">
      <c r="A13" t="s">
        <v>23</v>
      </c>
      <c r="B13" s="5">
        <v>1.6</v>
      </c>
      <c r="C13" s="5">
        <f ca="1">Tabela3[[#This Row],[Mod]]*$G$1</f>
        <v>1.9219360000267625</v>
      </c>
      <c r="D13" s="2">
        <f ca="1">$B$2*EXP($B$3*Tabela3[[#This Row],[Mod Final]])/EXP($B$3)</f>
        <v>63567.501764101129</v>
      </c>
      <c r="E13">
        <f ca="1">ROUNDDOWN(D13 - (H13*CONFIG!$E$12 + CONFIG!$D$12*G13 + CONFIG!$C$12*F13)/CONFIG!$B$11,0)</f>
        <v>7</v>
      </c>
      <c r="F13">
        <f ca="1">ROUNDDOWN((D13- (G13*CONFIG!$D$12 + H13*CONFIG!$E$12))/CONFIG!$C$11,0)</f>
        <v>18</v>
      </c>
      <c r="G13">
        <f ca="1">ROUNDDOWN((D13 - H13*CONFIG!$E$12)/CONFIG!$D$12,0)</f>
        <v>158</v>
      </c>
      <c r="H13">
        <f ca="1">ROUNDDOWN(D13/CONFIG!$E$12,0)</f>
        <v>0</v>
      </c>
    </row>
    <row r="14" spans="1:8" x14ac:dyDescent="0.3">
      <c r="A14" t="s">
        <v>24</v>
      </c>
      <c r="B14" s="5">
        <v>2.5</v>
      </c>
      <c r="C14" s="5">
        <f ca="1">Tabela3[[#This Row],[Mod]]*$G$1</f>
        <v>3.0030250000418164</v>
      </c>
      <c r="D14" s="2">
        <f ca="1">$B$2*EXP($B$3*Tabela3[[#This Row],[Mod Final]])/EXP($B$3)</f>
        <v>1628426.2901057559</v>
      </c>
      <c r="E14">
        <f ca="1">ROUNDDOWN(D14 - (H14*CONFIG!$E$12 + CONFIG!$D$12*G14 + CONFIG!$C$12*F14)/CONFIG!$B$11,0)</f>
        <v>6</v>
      </c>
      <c r="F14">
        <f ca="1">ROUNDDOWN((D14- (G14*CONFIG!$D$12 + H14*CONFIG!$E$12))/CONFIG!$C$11,0)</f>
        <v>1</v>
      </c>
      <c r="G14">
        <f ca="1">ROUNDDOWN((D14 - H14*CONFIG!$E$12)/CONFIG!$D$12,0)</f>
        <v>71</v>
      </c>
      <c r="H14">
        <f ca="1">ROUNDDOWN(D14/CONFIG!$E$12,0)</f>
        <v>10</v>
      </c>
    </row>
    <row r="15" spans="1:8" x14ac:dyDescent="0.3">
      <c r="A15" t="s">
        <v>25</v>
      </c>
      <c r="B15" s="5">
        <v>4</v>
      </c>
      <c r="C15" s="5">
        <f ca="1">Tabela3[[#This Row],[Mod]]*$G$1</f>
        <v>4.804840000066906</v>
      </c>
      <c r="D15" s="2">
        <f ca="1">$B$2*EXP($B$3*Tabela3[[#This Row],[Mod Final]])/EXP($B$3)</f>
        <v>362512545.63294488</v>
      </c>
      <c r="E15">
        <f ca="1">ROUNDDOWN(D15 - (H15*CONFIG!$E$12 + CONFIG!$D$12*G15 + CONFIG!$C$12*F15)/CONFIG!$B$11,0)</f>
        <v>5</v>
      </c>
      <c r="F15">
        <f ca="1">ROUNDDOWN((D15- (G15*CONFIG!$D$12 + H15*CONFIG!$E$12))/CONFIG!$C$11,0)</f>
        <v>7</v>
      </c>
      <c r="G15">
        <f ca="1">ROUNDDOWN((D15 - H15*CONFIG!$E$12)/CONFIG!$D$12,0)</f>
        <v>281</v>
      </c>
      <c r="H15">
        <f ca="1">ROUNDDOWN(D15/CONFIG!$E$12,0)</f>
        <v>2265</v>
      </c>
    </row>
    <row r="16" spans="1:8" x14ac:dyDescent="0.3">
      <c r="A16" t="s">
        <v>26</v>
      </c>
      <c r="B16" s="5">
        <v>5</v>
      </c>
      <c r="C16" s="5">
        <f ca="1">Tabela3[[#This Row],[Mod]]*$G$1</f>
        <v>6.0060500000836328</v>
      </c>
      <c r="D16" s="2">
        <f ca="1">$B$2*EXP($B$3*Tabela3[[#This Row],[Mod Final]])/EXP($B$3)</f>
        <v>13315567019.905289</v>
      </c>
      <c r="E16">
        <f ca="1">ROUNDDOWN(D16 - (H16*CONFIG!$E$12 + CONFIG!$D$12*G16 + CONFIG!$C$12*F16)/CONFIG!$B$11,0)</f>
        <v>19</v>
      </c>
      <c r="F16">
        <f ca="1">ROUNDDOWN((D16- (G16*CONFIG!$D$12 + H16*CONFIG!$E$12))/CONFIG!$C$11,0)</f>
        <v>10</v>
      </c>
      <c r="G16">
        <f ca="1">ROUNDDOWN((D16 - H16*CONFIG!$E$12)/CONFIG!$D$12,0)</f>
        <v>117</v>
      </c>
      <c r="H16">
        <f ca="1">ROUNDDOWN(D16/CONFIG!$E$12,0)</f>
        <v>83222</v>
      </c>
    </row>
    <row r="17" spans="1:8" x14ac:dyDescent="0.3">
      <c r="A17" t="s">
        <v>27</v>
      </c>
      <c r="B17" s="5">
        <v>2.5</v>
      </c>
      <c r="C17" s="5">
        <f ca="1">Tabela3[[#This Row],[Mod]]*$G$1</f>
        <v>3.0030250000418164</v>
      </c>
      <c r="D17" s="2">
        <f ca="1">$B$2*EXP($B$3*Tabela3[[#This Row],[Mod Final]])/EXP($B$3)</f>
        <v>1628426.2901057559</v>
      </c>
      <c r="E17">
        <f ca="1">ROUNDDOWN(D17 - (H17*CONFIG!$E$12 + CONFIG!$D$12*G17 + CONFIG!$C$12*F17)/CONFIG!$B$11,0)</f>
        <v>6</v>
      </c>
      <c r="F17">
        <f ca="1">ROUNDDOWN((D17- (G17*CONFIG!$D$12 + H17*CONFIG!$E$12))/CONFIG!$C$11,0)</f>
        <v>1</v>
      </c>
      <c r="G17">
        <f ca="1">ROUNDDOWN((D17 - H17*CONFIG!$E$12)/CONFIG!$D$12,0)</f>
        <v>71</v>
      </c>
      <c r="H17">
        <f ca="1">ROUNDDOWN(D17/CONFIG!$E$12,0)</f>
        <v>10</v>
      </c>
    </row>
    <row r="18" spans="1:8" x14ac:dyDescent="0.3">
      <c r="A18" t="s">
        <v>28</v>
      </c>
      <c r="B18" s="5">
        <v>5.0999999999999996</v>
      </c>
      <c r="C18" s="5">
        <f ca="1">Tabela3[[#This Row],[Mod]]*$G$1</f>
        <v>6.1261710000853045</v>
      </c>
      <c r="D18" s="2">
        <f ca="1">$B$2*EXP($B$3*Tabela3[[#This Row],[Mod Final]])/EXP($B$3)</f>
        <v>19092523209.451431</v>
      </c>
      <c r="E18">
        <f ca="1">ROUNDDOWN(D18 - (H18*CONFIG!$E$12 + CONFIG!$D$12*G18 + CONFIG!$C$12*F18)/CONFIG!$B$11,0)</f>
        <v>9</v>
      </c>
      <c r="F18">
        <f ca="1">ROUNDDOWN((D18- (G18*CONFIG!$D$12 + H18*CONFIG!$E$12))/CONFIG!$C$11,0)</f>
        <v>0</v>
      </c>
      <c r="G18">
        <f ca="1">ROUNDDOWN((D18 - H18*CONFIG!$E$12)/CONFIG!$D$12,0)</f>
        <v>108</v>
      </c>
      <c r="H18">
        <f ca="1">ROUNDDOWN(D18/CONFIG!$E$12,0)</f>
        <v>119328</v>
      </c>
    </row>
    <row r="19" spans="1:8" x14ac:dyDescent="0.3">
      <c r="A19" t="s">
        <v>29</v>
      </c>
      <c r="B19" s="5">
        <v>5.5</v>
      </c>
      <c r="C19" s="5">
        <f ca="1">Tabela3[[#This Row],[Mod]]*$G$1</f>
        <v>6.6066550000919957</v>
      </c>
      <c r="D19" s="2">
        <f ca="1">$B$2*EXP($B$3*Tabela3[[#This Row],[Mod Final]])/EXP($B$3)</f>
        <v>80700825416.386124</v>
      </c>
      <c r="E19">
        <f ca="1">ROUNDDOWN(D19 - (H19*CONFIG!$E$12 + CONFIG!$D$12*G19 + CONFIG!$C$12*F19)/CONFIG!$B$11,0)</f>
        <v>16</v>
      </c>
      <c r="F19">
        <f ca="1">ROUNDDOWN((D19- (G19*CONFIG!$D$12 + H19*CONFIG!$E$12))/CONFIG!$C$11,0)</f>
        <v>10</v>
      </c>
      <c r="G19">
        <f ca="1">ROUNDDOWN((D19 - H19*CONFIG!$E$12)/CONFIG!$D$12,0)</f>
        <v>63</v>
      </c>
      <c r="H19">
        <f ca="1">ROUNDDOWN(D19/CONFIG!$E$12,0)</f>
        <v>504380</v>
      </c>
    </row>
    <row r="20" spans="1:8" x14ac:dyDescent="0.3">
      <c r="A20" t="s">
        <v>30</v>
      </c>
      <c r="B20" s="5">
        <v>6</v>
      </c>
      <c r="C20" s="5">
        <f ca="1">Tabela3[[#This Row],[Mod]]*$G$1</f>
        <v>7.2072600001003586</v>
      </c>
      <c r="D20" s="2">
        <f ca="1">$B$2*EXP($B$3*Tabela3[[#This Row],[Mod Final]])/EXP($B$3)</f>
        <v>489098452446.70465</v>
      </c>
      <c r="E20">
        <f ca="1">ROUNDDOWN(D20 - (H20*CONFIG!$E$12 + CONFIG!$D$12*G20 + CONFIG!$C$12*F20)/CONFIG!$B$11,0)</f>
        <v>6</v>
      </c>
      <c r="F20">
        <f ca="1">ROUNDDOWN((D20- (G20*CONFIG!$D$12 + H20*CONFIG!$E$12))/CONFIG!$C$11,0)</f>
        <v>2</v>
      </c>
      <c r="G20">
        <f ca="1">ROUNDDOWN((D20 - H20*CONFIG!$E$12)/CONFIG!$D$12,0)</f>
        <v>131</v>
      </c>
      <c r="H20">
        <f ca="1">ROUNDDOWN(D20/CONFIG!$E$12,0)</f>
        <v>3056865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A8EFD-8180-438D-814A-CD95CB328455}">
  <sheetPr codeName="Planilha4">
    <tabColor theme="1"/>
  </sheetPr>
  <dimension ref="A1:E100"/>
  <sheetViews>
    <sheetView workbookViewId="0">
      <selection activeCell="J16" sqref="J16"/>
    </sheetView>
  </sheetViews>
  <sheetFormatPr defaultRowHeight="14.4" x14ac:dyDescent="0.3"/>
  <cols>
    <col min="1" max="1" width="12.6640625" style="8" bestFit="1" customWidth="1"/>
    <col min="2" max="2" width="0.77734375" style="10" customWidth="1"/>
    <col min="3" max="3" width="11.77734375" bestFit="1" customWidth="1"/>
    <col min="4" max="4" width="0.44140625" style="13" customWidth="1"/>
    <col min="5" max="5" width="11.21875" customWidth="1"/>
  </cols>
  <sheetData>
    <row r="1" spans="1:5" s="1" customFormat="1" x14ac:dyDescent="0.3">
      <c r="A1" s="1" t="s">
        <v>97</v>
      </c>
      <c r="B1" s="9" t="s">
        <v>99</v>
      </c>
      <c r="C1" s="1" t="s">
        <v>93</v>
      </c>
      <c r="D1" s="12" t="s">
        <v>98</v>
      </c>
      <c r="E1" s="1" t="s">
        <v>94</v>
      </c>
    </row>
    <row r="2" spans="1:5" x14ac:dyDescent="0.3">
      <c r="A2" s="8" t="str">
        <f ca="1">IF(CONFIG!A18="","",CONFIG!A18)</f>
        <v>Andíl</v>
      </c>
      <c r="B2" s="10" t="str">
        <f ca="1">"[Controle.xlsm]Relações!"&amp;ADDRESS(CONFIG!$B$3+2,ROW(B2))</f>
        <v>[Controle.xlsm]Relações!$B$7</v>
      </c>
      <c r="C2" s="11" cm="1">
        <f t="array" aca="1" ref="C2" ca="1">IF(A2="","",Eval(B2))</f>
        <v>1.1000000000000001</v>
      </c>
      <c r="D2" s="13" t="str">
        <f ca="1">"[Controle.xlsm]Relações!"&amp;ADDRESS(ROW(E2)+1,CONFIG!$B$3+1)</f>
        <v>[Controle.xlsm]Relações!$F$3</v>
      </c>
      <c r="E2" s="11" cm="1">
        <f t="array" aca="1" ref="E2" ca="1">IF(A2="","",Eval(D2))</f>
        <v>1.1499999999999999</v>
      </c>
    </row>
    <row r="3" spans="1:5" x14ac:dyDescent="0.3">
      <c r="A3" s="8" t="str">
        <f ca="1">IF(CONFIG!A19="","",CONFIG!A19)</f>
        <v>Arkma</v>
      </c>
      <c r="B3" s="10" t="str">
        <f ca="1">"[Controle.xlsm]Relações!"&amp;ADDRESS(CONFIG!$B$3+2,ROW(B3))</f>
        <v>[Controle.xlsm]Relações!$C$7</v>
      </c>
      <c r="C3" s="11" cm="1">
        <f t="array" aca="1" ref="C3" ca="1">IF(A3="","",Eval(B3))</f>
        <v>1.0009999999999999</v>
      </c>
      <c r="D3" s="13" t="str">
        <f ca="1">"[Controle.xlsm]Relações!"&amp;ADDRESS(ROW(E3)+1,CONFIG!$B$3+1)</f>
        <v>[Controle.xlsm]Relações!$F$4</v>
      </c>
      <c r="E3" s="11" cm="1">
        <f t="array" aca="1" ref="E3" ca="1">IF(A3="","",Eval(D3))</f>
        <v>1.01</v>
      </c>
    </row>
    <row r="4" spans="1:5" x14ac:dyDescent="0.3">
      <c r="A4" s="8" t="str">
        <f ca="1">IF(CONFIG!A20="","",CONFIG!A20)</f>
        <v>Faristéia</v>
      </c>
      <c r="B4" s="10" t="str">
        <f ca="1">"[Controle.xlsm]Relações!"&amp;ADDRESS(CONFIG!$B$3+2,ROW(B4))</f>
        <v>[Controle.xlsm]Relações!$D$7</v>
      </c>
      <c r="C4" s="11" cm="1">
        <f t="array" aca="1" ref="C4" ca="1">IF(A4="","",Eval(B4))</f>
        <v>1.1000000000000001</v>
      </c>
      <c r="D4" s="13" t="str">
        <f ca="1">"[Controle.xlsm]Relações!"&amp;ADDRESS(ROW(E4)+1,CONFIG!$B$3+1)</f>
        <v>[Controle.xlsm]Relações!$F$5</v>
      </c>
      <c r="E4" s="11" cm="1">
        <f t="array" aca="1" ref="E4" ca="1">IF(A4="","",Eval(D4))</f>
        <v>1.1499999999999999</v>
      </c>
    </row>
    <row r="5" spans="1:5" x14ac:dyDescent="0.3">
      <c r="A5" s="8" t="str">
        <f ca="1">IF(CONFIG!A21="","",CONFIG!A21)</f>
        <v>Nesmé</v>
      </c>
      <c r="B5" s="10" t="str">
        <f ca="1">"[Controle.xlsm]Relações!"&amp;ADDRESS(CONFIG!$B$3+2,ROW(B5))</f>
        <v>[Controle.xlsm]Relações!$E$7</v>
      </c>
      <c r="C5" s="11" cm="1">
        <f t="array" aca="1" ref="C5" ca="1">IF(A5="","",Eval(B5))</f>
        <v>1.85</v>
      </c>
      <c r="D5" s="13" t="str">
        <f ca="1">"[Controle.xlsm]Relações!"&amp;ADDRESS(ROW(E5)+1,CONFIG!$B$3+1)</f>
        <v>[Controle.xlsm]Relações!$F$6</v>
      </c>
      <c r="E5" s="11" cm="1">
        <f t="array" aca="1" ref="E5" ca="1">IF(A5="","",Eval(D5))</f>
        <v>2</v>
      </c>
    </row>
    <row r="6" spans="1:5" x14ac:dyDescent="0.3">
      <c r="A6" s="8" t="str">
        <f ca="1">IF(CONFIG!A22="","",CONFIG!A22)</f>
        <v>Nova Bretânia</v>
      </c>
      <c r="B6" s="10" t="str">
        <f ca="1">"[Controle.xlsm]Relações!"&amp;ADDRESS(CONFIG!$B$3+2,ROW(B6))</f>
        <v>[Controle.xlsm]Relações!$F$7</v>
      </c>
      <c r="C6" s="11" cm="1">
        <f t="array" aca="1" ref="C6" ca="1">IF(A6="","",Eval(B6))</f>
        <v>1</v>
      </c>
      <c r="D6" s="13" t="str">
        <f ca="1">"[Controle.xlsm]Relações!"&amp;ADDRESS(ROW(E6)+1,CONFIG!$B$3+1)</f>
        <v>[Controle.xlsm]Relações!$F$7</v>
      </c>
      <c r="E6" s="11" cm="1">
        <f t="array" aca="1" ref="E6" ca="1">IF(A6="","",Eval(D6))</f>
        <v>1</v>
      </c>
    </row>
    <row r="7" spans="1:5" x14ac:dyDescent="0.3">
      <c r="A7" s="8" t="str">
        <f ca="1">IF(CONFIG!A23="","",CONFIG!A23)</f>
        <v>Vila Lór</v>
      </c>
      <c r="B7" s="10" t="str">
        <f ca="1">"[Controle.xlsm]Relações!"&amp;ADDRESS(CONFIG!$B$3+2,ROW(B7))</f>
        <v>[Controle.xlsm]Relações!$G$7</v>
      </c>
      <c r="C7" s="11" cm="1">
        <f t="array" aca="1" ref="C7" ca="1">IF(A7="","",Eval(B7))</f>
        <v>1.05</v>
      </c>
      <c r="D7" s="13" t="str">
        <f ca="1">"[Controle.xlsm]Relações!"&amp;ADDRESS(ROW(E7)+1,CONFIG!$B$3+1)</f>
        <v>[Controle.xlsm]Relações!$F$8</v>
      </c>
      <c r="E7" s="11" cm="1">
        <f t="array" aca="1" ref="E7" ca="1">IF(A7="","",Eval(D7))</f>
        <v>1.1000000000000001</v>
      </c>
    </row>
    <row r="8" spans="1:5" x14ac:dyDescent="0.3">
      <c r="A8" s="8" t="str">
        <f>IF(CONFIG!A24="","",CONFIG!A24)</f>
        <v/>
      </c>
      <c r="C8" s="11" t="str" cm="1">
        <f t="array" ref="C8">IF(A8="","",Eval(B8))</f>
        <v/>
      </c>
      <c r="E8" s="11" t="str" cm="1">
        <f t="array" ref="E8">IF(A8="","",Eval(D8))</f>
        <v/>
      </c>
    </row>
    <row r="9" spans="1:5" x14ac:dyDescent="0.3">
      <c r="A9" s="8" t="str">
        <f>IF(CONFIG!A25="","",CONFIG!A25)</f>
        <v/>
      </c>
      <c r="C9" s="11" t="str" cm="1">
        <f t="array" ref="C9">IF(A9="","",Eval(B9))</f>
        <v/>
      </c>
      <c r="E9" s="11" t="str" cm="1">
        <f t="array" ref="E9">IF(A9="","",Eval(D9))</f>
        <v/>
      </c>
    </row>
    <row r="10" spans="1:5" x14ac:dyDescent="0.3">
      <c r="A10" s="8" t="str">
        <f>IF(CONFIG!A26="","",CONFIG!A26)</f>
        <v/>
      </c>
      <c r="C10" s="11" t="str" cm="1">
        <f t="array" ref="C10">IF(A10="","",Eval(B10))</f>
        <v/>
      </c>
      <c r="E10" s="11" t="str" cm="1">
        <f t="array" ref="E10">IF(A10="","",Eval(D10))</f>
        <v/>
      </c>
    </row>
    <row r="11" spans="1:5" x14ac:dyDescent="0.3">
      <c r="A11" s="8" t="str">
        <f>IF(CONFIG!A27="","",CONFIG!A27)</f>
        <v/>
      </c>
      <c r="C11" s="11" t="str" cm="1">
        <f t="array" ref="C11">IF(A11="","",Eval(B11))</f>
        <v/>
      </c>
      <c r="E11" s="11" t="str" cm="1">
        <f t="array" ref="E11">IF(A11="","",Eval(D11))</f>
        <v/>
      </c>
    </row>
    <row r="12" spans="1:5" x14ac:dyDescent="0.3">
      <c r="A12" s="8" t="str">
        <f>IF(CONFIG!A28="","",CONFIG!A28)</f>
        <v/>
      </c>
      <c r="C12" s="11" t="str" cm="1">
        <f t="array" ref="C12">IF(A12="","",Eval(B12))</f>
        <v/>
      </c>
      <c r="E12" s="11" t="str" cm="1">
        <f t="array" ref="E12">IF(A12="","",Eval(D12))</f>
        <v/>
      </c>
    </row>
    <row r="13" spans="1:5" x14ac:dyDescent="0.3">
      <c r="A13" s="8" t="str">
        <f>IF(CONFIG!A29="","",CONFIG!A29)</f>
        <v/>
      </c>
      <c r="C13" s="11" t="str" cm="1">
        <f t="array" ref="C13">IF(A13="","",Eval(B13))</f>
        <v/>
      </c>
      <c r="E13" s="11" t="str" cm="1">
        <f t="array" ref="E13">IF(A13="","",Eval(D13))</f>
        <v/>
      </c>
    </row>
    <row r="14" spans="1:5" x14ac:dyDescent="0.3">
      <c r="A14" s="8" t="str">
        <f>IF(CONFIG!A30="","",CONFIG!A30)</f>
        <v/>
      </c>
      <c r="C14" s="11" t="str" cm="1">
        <f t="array" ref="C14">IF(A14="","",Eval(B14))</f>
        <v/>
      </c>
      <c r="E14" s="11" t="str" cm="1">
        <f t="array" ref="E14">IF(A14="","",Eval(D14))</f>
        <v/>
      </c>
    </row>
    <row r="15" spans="1:5" x14ac:dyDescent="0.3">
      <c r="A15" s="8" t="str">
        <f>IF(CONFIG!A31="","",CONFIG!A31)</f>
        <v/>
      </c>
      <c r="C15" s="11" t="str" cm="1">
        <f t="array" ref="C15">IF(A15="","",Eval(B15))</f>
        <v/>
      </c>
      <c r="E15" s="11" t="str" cm="1">
        <f t="array" ref="E15">IF(A15="","",Eval(D15))</f>
        <v/>
      </c>
    </row>
    <row r="16" spans="1:5" x14ac:dyDescent="0.3">
      <c r="A16" s="8" t="str">
        <f>IF(CONFIG!A32="","",CONFIG!A32)</f>
        <v/>
      </c>
      <c r="C16" s="11" t="str" cm="1">
        <f t="array" ref="C16">IF(A16="","",Eval(B16))</f>
        <v/>
      </c>
      <c r="E16" s="11" t="str" cm="1">
        <f t="array" ref="E16">IF(A16="","",Eval(D16))</f>
        <v/>
      </c>
    </row>
    <row r="17" spans="1:5" x14ac:dyDescent="0.3">
      <c r="A17" s="8" t="str">
        <f>IF(CONFIG!A33="","",CONFIG!A33)</f>
        <v/>
      </c>
      <c r="C17" s="11" t="str" cm="1">
        <f t="array" ref="C17">IF(A17="","",Eval(B17))</f>
        <v/>
      </c>
      <c r="E17" s="11" t="str" cm="1">
        <f t="array" ref="E17">IF(A17="","",Eval(D17))</f>
        <v/>
      </c>
    </row>
    <row r="18" spans="1:5" x14ac:dyDescent="0.3">
      <c r="A18" s="8" t="str">
        <f>IF(CONFIG!A34="","",CONFIG!A34)</f>
        <v/>
      </c>
      <c r="C18" s="11" t="str" cm="1">
        <f t="array" ref="C18">IF(A18="","",Eval(B18))</f>
        <v/>
      </c>
      <c r="E18" s="11" t="str" cm="1">
        <f t="array" ref="E18">IF(A18="","",Eval(D18))</f>
        <v/>
      </c>
    </row>
    <row r="19" spans="1:5" x14ac:dyDescent="0.3">
      <c r="A19" s="8" t="str">
        <f>IF(CONFIG!A35="","",CONFIG!A35)</f>
        <v/>
      </c>
      <c r="C19" s="11" t="str" cm="1">
        <f t="array" ref="C19">IF(A19="","",Eval(B19))</f>
        <v/>
      </c>
      <c r="E19" s="11" t="str" cm="1">
        <f t="array" ref="E19">IF(A19="","",Eval(D19))</f>
        <v/>
      </c>
    </row>
    <row r="20" spans="1:5" x14ac:dyDescent="0.3">
      <c r="A20" s="8" t="str">
        <f>IF(CONFIG!A36="","",CONFIG!A36)</f>
        <v/>
      </c>
      <c r="C20" s="11" t="str" cm="1">
        <f t="array" ref="C20">IF(A20="","",Eval(B20))</f>
        <v/>
      </c>
      <c r="E20" s="11" t="str" cm="1">
        <f t="array" ref="E20">IF(A20="","",Eval(D20))</f>
        <v/>
      </c>
    </row>
    <row r="21" spans="1:5" x14ac:dyDescent="0.3">
      <c r="A21" s="8" t="str">
        <f>IF(CONFIG!A37="","",CONFIG!A37)</f>
        <v/>
      </c>
      <c r="C21" s="11" t="str" cm="1">
        <f t="array" ref="C21">IF(A21="","",Eval(B21))</f>
        <v/>
      </c>
      <c r="E21" s="11" t="str" cm="1">
        <f t="array" ref="E21">IF(A21="","",Eval(D21))</f>
        <v/>
      </c>
    </row>
    <row r="22" spans="1:5" x14ac:dyDescent="0.3">
      <c r="A22" s="8" t="str">
        <f>IF(CONFIG!A38="","",CONFIG!A38)</f>
        <v/>
      </c>
      <c r="C22" s="11" t="str" cm="1">
        <f t="array" ref="C22">IF(A22="","",Eval(B22))</f>
        <v/>
      </c>
      <c r="E22" s="11" t="str" cm="1">
        <f t="array" ref="E22">IF(A22="","",Eval(D22))</f>
        <v/>
      </c>
    </row>
    <row r="23" spans="1:5" x14ac:dyDescent="0.3">
      <c r="A23" s="8" t="str">
        <f>IF(CONFIG!A39="","",CONFIG!A39)</f>
        <v/>
      </c>
      <c r="C23" s="11" t="str" cm="1">
        <f t="array" ref="C23">IF(A23="","",Eval(B23))</f>
        <v/>
      </c>
      <c r="E23" s="11" t="str" cm="1">
        <f t="array" ref="E23">IF(A23="","",Eval(D23))</f>
        <v/>
      </c>
    </row>
    <row r="24" spans="1:5" x14ac:dyDescent="0.3">
      <c r="A24" s="8" t="str">
        <f>IF(CONFIG!A40="","",CONFIG!A40)</f>
        <v/>
      </c>
      <c r="C24" s="11" t="str" cm="1">
        <f t="array" ref="C24">IF(A24="","",Eval(B24))</f>
        <v/>
      </c>
      <c r="E24" s="11" t="str" cm="1">
        <f t="array" ref="E24">IF(A24="","",Eval(D24))</f>
        <v/>
      </c>
    </row>
    <row r="25" spans="1:5" x14ac:dyDescent="0.3">
      <c r="A25" s="8" t="str">
        <f>IF(CONFIG!A41="","",CONFIG!A41)</f>
        <v/>
      </c>
      <c r="C25" s="11" t="str" cm="1">
        <f t="array" ref="C25">IF(A25="","",Eval(B25))</f>
        <v/>
      </c>
      <c r="E25" s="11" t="str" cm="1">
        <f t="array" ref="E25">IF(A25="","",Eval(D25))</f>
        <v/>
      </c>
    </row>
    <row r="26" spans="1:5" x14ac:dyDescent="0.3">
      <c r="A26" s="8" t="str">
        <f>IF(CONFIG!A42="","",CONFIG!A42)</f>
        <v/>
      </c>
      <c r="C26" s="11" t="str" cm="1">
        <f t="array" ref="C26">IF(A26="","",Eval(B26))</f>
        <v/>
      </c>
      <c r="E26" s="11" t="str" cm="1">
        <f t="array" ref="E26">IF(A26="","",Eval(D26))</f>
        <v/>
      </c>
    </row>
    <row r="27" spans="1:5" x14ac:dyDescent="0.3">
      <c r="A27" s="8" t="str">
        <f>IF(CONFIG!A43="","",CONFIG!A43)</f>
        <v/>
      </c>
      <c r="C27" s="11" t="str" cm="1">
        <f t="array" ref="C27">IF(A27="","",Eval(B27))</f>
        <v/>
      </c>
      <c r="E27" s="11" t="str" cm="1">
        <f t="array" ref="E27">IF(A27="","",Eval(D27))</f>
        <v/>
      </c>
    </row>
    <row r="28" spans="1:5" x14ac:dyDescent="0.3">
      <c r="A28" s="8" t="str">
        <f>IF(CONFIG!A44="","",CONFIG!A44)</f>
        <v/>
      </c>
      <c r="C28" s="11" t="str" cm="1">
        <f t="array" ref="C28">IF(A28="","",Eval(B28))</f>
        <v/>
      </c>
      <c r="E28" s="11" t="str" cm="1">
        <f t="array" ref="E28">IF(A28="","",Eval(D28))</f>
        <v/>
      </c>
    </row>
    <row r="29" spans="1:5" x14ac:dyDescent="0.3">
      <c r="A29" s="8" t="str">
        <f>IF(CONFIG!A45="","",CONFIG!A45)</f>
        <v/>
      </c>
      <c r="C29" s="11" t="str" cm="1">
        <f t="array" ref="C29">IF(A29="","",Eval(B29))</f>
        <v/>
      </c>
      <c r="E29" s="11" t="str" cm="1">
        <f t="array" ref="E29">IF(A29="","",Eval(D29))</f>
        <v/>
      </c>
    </row>
    <row r="30" spans="1:5" x14ac:dyDescent="0.3">
      <c r="A30" s="8" t="str">
        <f>IF(CONFIG!A46="","",CONFIG!A46)</f>
        <v/>
      </c>
      <c r="C30" s="11" t="str" cm="1">
        <f t="array" ref="C30">IF(A30="","",Eval(B30))</f>
        <v/>
      </c>
      <c r="E30" s="11" t="str" cm="1">
        <f t="array" ref="E30">IF(A30="","",Eval(D30))</f>
        <v/>
      </c>
    </row>
    <row r="31" spans="1:5" x14ac:dyDescent="0.3">
      <c r="A31" s="8" t="str">
        <f>IF(CONFIG!A47="","",CONFIG!A47)</f>
        <v/>
      </c>
      <c r="C31" s="11" t="str" cm="1">
        <f t="array" ref="C31">IF(A31="","",Eval(B31))</f>
        <v/>
      </c>
      <c r="E31" s="11" t="str" cm="1">
        <f t="array" ref="E31">IF(A31="","",Eval(D31))</f>
        <v/>
      </c>
    </row>
    <row r="32" spans="1:5" x14ac:dyDescent="0.3">
      <c r="A32" s="8" t="str">
        <f>IF(CONFIG!A48="","",CONFIG!A48)</f>
        <v/>
      </c>
      <c r="C32" s="11" t="str" cm="1">
        <f t="array" ref="C32">IF(A32="","",Eval(B32))</f>
        <v/>
      </c>
      <c r="E32" s="11" t="str" cm="1">
        <f t="array" ref="E32">IF(A32="","",Eval(D32))</f>
        <v/>
      </c>
    </row>
    <row r="33" spans="1:5" x14ac:dyDescent="0.3">
      <c r="A33" s="8" t="str">
        <f>IF(CONFIG!A49="","",CONFIG!A49)</f>
        <v/>
      </c>
      <c r="C33" s="11" t="str" cm="1">
        <f t="array" ref="C33">IF(A33="","",Eval(B33))</f>
        <v/>
      </c>
      <c r="E33" s="11" t="str" cm="1">
        <f t="array" ref="E33">IF(A33="","",Eval(D33))</f>
        <v/>
      </c>
    </row>
    <row r="34" spans="1:5" x14ac:dyDescent="0.3">
      <c r="A34" s="8" t="str">
        <f>IF(CONFIG!A50="","",CONFIG!A50)</f>
        <v/>
      </c>
      <c r="C34" s="11" t="str" cm="1">
        <f t="array" ref="C34">IF(A34="","",Eval(B34))</f>
        <v/>
      </c>
      <c r="E34" s="11" t="str" cm="1">
        <f t="array" ref="E34">IF(A34="","",Eval(D34))</f>
        <v/>
      </c>
    </row>
    <row r="35" spans="1:5" x14ac:dyDescent="0.3">
      <c r="A35" s="8" t="str">
        <f>IF(CONFIG!A51="","",CONFIG!A51)</f>
        <v/>
      </c>
      <c r="C35" s="11" t="str" cm="1">
        <f t="array" ref="C35">IF(A35="","",Eval(B35))</f>
        <v/>
      </c>
    </row>
    <row r="36" spans="1:5" x14ac:dyDescent="0.3">
      <c r="A36" s="8" t="str">
        <f>IF(CONFIG!A52="","",CONFIG!A52)</f>
        <v/>
      </c>
      <c r="C36" s="11" t="str" cm="1">
        <f t="array" ref="C36">IF(A36="","",Eval(B36))</f>
        <v/>
      </c>
    </row>
    <row r="37" spans="1:5" x14ac:dyDescent="0.3">
      <c r="A37" s="8" t="str">
        <f>IF(CONFIG!A53="","",CONFIG!A53)</f>
        <v/>
      </c>
      <c r="C37" s="11" t="str" cm="1">
        <f t="array" ref="C37">IF(A37="","",Eval(B37))</f>
        <v/>
      </c>
    </row>
    <row r="38" spans="1:5" x14ac:dyDescent="0.3">
      <c r="A38" s="8" t="str">
        <f>IF(CONFIG!A54="","",CONFIG!A54)</f>
        <v/>
      </c>
      <c r="C38" s="11" t="str" cm="1">
        <f t="array" ref="C38">IF(A38="","",Eval(B38))</f>
        <v/>
      </c>
    </row>
    <row r="39" spans="1:5" x14ac:dyDescent="0.3">
      <c r="A39" s="8" t="str">
        <f>IF(CONFIG!A55="","",CONFIG!A55)</f>
        <v/>
      </c>
      <c r="C39" s="11" t="str" cm="1">
        <f t="array" ref="C39">IF(A39="","",Eval(B39))</f>
        <v/>
      </c>
    </row>
    <row r="40" spans="1:5" x14ac:dyDescent="0.3">
      <c r="A40" s="8" t="str">
        <f>IF(CONFIG!A56="","",CONFIG!A56)</f>
        <v/>
      </c>
      <c r="C40" s="11" t="str" cm="1">
        <f t="array" ref="C40">IF(A40="","",Eval(B40))</f>
        <v/>
      </c>
    </row>
    <row r="41" spans="1:5" x14ac:dyDescent="0.3">
      <c r="A41" s="8" t="str">
        <f>IF(CONFIG!A57="","",CONFIG!A57)</f>
        <v/>
      </c>
      <c r="C41" s="11" t="str" cm="1">
        <f t="array" ref="C41">IF(A41="","",Eval(B41))</f>
        <v/>
      </c>
    </row>
    <row r="42" spans="1:5" x14ac:dyDescent="0.3">
      <c r="A42" s="8" t="str">
        <f>IF(CONFIG!A58="","",CONFIG!A58)</f>
        <v/>
      </c>
      <c r="C42" s="11" t="str" cm="1">
        <f t="array" ref="C42">IF(A42="","",Eval(B42))</f>
        <v/>
      </c>
    </row>
    <row r="43" spans="1:5" x14ac:dyDescent="0.3">
      <c r="A43" s="8" t="str">
        <f>IF(CONFIG!A59="","",CONFIG!A59)</f>
        <v/>
      </c>
      <c r="C43" s="11" t="str" cm="1">
        <f t="array" ref="C43">IF(A43="","",Eval(B43))</f>
        <v/>
      </c>
    </row>
    <row r="44" spans="1:5" x14ac:dyDescent="0.3">
      <c r="A44" s="8" t="str">
        <f>IF(CONFIG!A60="","",CONFIG!A60)</f>
        <v/>
      </c>
      <c r="C44" s="11" t="str" cm="1">
        <f t="array" ref="C44">IF(A44="","",Eval(B44))</f>
        <v/>
      </c>
    </row>
    <row r="45" spans="1:5" x14ac:dyDescent="0.3">
      <c r="A45" s="8" t="str">
        <f>IF(CONFIG!A61="","",CONFIG!A61)</f>
        <v/>
      </c>
      <c r="C45" s="11" t="str" cm="1">
        <f t="array" ref="C45">IF(A45="","",Eval(B45))</f>
        <v/>
      </c>
    </row>
    <row r="46" spans="1:5" x14ac:dyDescent="0.3">
      <c r="A46" s="8" t="str">
        <f>IF(CONFIG!A62="","",CONFIG!A62)</f>
        <v/>
      </c>
      <c r="C46" s="11" t="str" cm="1">
        <f t="array" ref="C46">IF(A46="","",Eval(B46))</f>
        <v/>
      </c>
    </row>
    <row r="47" spans="1:5" x14ac:dyDescent="0.3">
      <c r="A47" s="8" t="str">
        <f>IF(CONFIG!A63="","",CONFIG!A63)</f>
        <v/>
      </c>
      <c r="C47" s="11" t="str" cm="1">
        <f t="array" ref="C47">IF(A47="","",Eval(B47))</f>
        <v/>
      </c>
    </row>
    <row r="48" spans="1:5" x14ac:dyDescent="0.3">
      <c r="A48" s="8" t="str">
        <f>IF(CONFIG!A64="","",CONFIG!A64)</f>
        <v/>
      </c>
      <c r="C48" s="11" t="str" cm="1">
        <f t="array" ref="C48">IF(A48="","",Eval(B48))</f>
        <v/>
      </c>
    </row>
    <row r="49" spans="1:3" x14ac:dyDescent="0.3">
      <c r="A49" s="8" t="str">
        <f>IF(CONFIG!A65="","",CONFIG!A65)</f>
        <v/>
      </c>
      <c r="C49" s="11" t="str" cm="1">
        <f t="array" ref="C49">IF(A49="","",Eval(B49))</f>
        <v/>
      </c>
    </row>
    <row r="50" spans="1:3" x14ac:dyDescent="0.3">
      <c r="A50" s="8" t="str">
        <f>IF(CONFIG!A66="","",CONFIG!A66)</f>
        <v/>
      </c>
      <c r="C50" s="11" t="str" cm="1">
        <f t="array" ref="C50">IF(A50="","",Eval(B50))</f>
        <v/>
      </c>
    </row>
    <row r="51" spans="1:3" x14ac:dyDescent="0.3">
      <c r="A51" s="8" t="str">
        <f>IF(CONFIG!A67="","",CONFIG!A67)</f>
        <v/>
      </c>
      <c r="C51" s="11" t="str" cm="1">
        <f t="array" ref="C51">IF(A51="","",Eval(B51))</f>
        <v/>
      </c>
    </row>
    <row r="52" spans="1:3" x14ac:dyDescent="0.3">
      <c r="A52" s="8" t="str">
        <f>IF(CONFIG!A68="","",CONFIG!A68)</f>
        <v/>
      </c>
      <c r="C52" s="11" t="str" cm="1">
        <f t="array" ref="C52">IF(A52="","",Eval(B52))</f>
        <v/>
      </c>
    </row>
    <row r="53" spans="1:3" x14ac:dyDescent="0.3">
      <c r="A53" s="8" t="str">
        <f>IF(CONFIG!A69="","",CONFIG!A69)</f>
        <v/>
      </c>
      <c r="C53" s="11" t="str" cm="1">
        <f t="array" ref="C53">IF(A53="","",Eval(B53))</f>
        <v/>
      </c>
    </row>
    <row r="54" spans="1:3" x14ac:dyDescent="0.3">
      <c r="A54" s="8" t="str">
        <f>IF(CONFIG!A70="","",CONFIG!A70)</f>
        <v/>
      </c>
      <c r="C54" s="11" t="str" cm="1">
        <f t="array" ref="C54">IF(A54="","",Eval(B54))</f>
        <v/>
      </c>
    </row>
    <row r="55" spans="1:3" x14ac:dyDescent="0.3">
      <c r="A55" s="8" t="str">
        <f>IF(CONFIG!A71="","",CONFIG!A71)</f>
        <v/>
      </c>
      <c r="C55" s="11" t="str" cm="1">
        <f t="array" ref="C55">IF(A55="","",Eval(B55))</f>
        <v/>
      </c>
    </row>
    <row r="56" spans="1:3" x14ac:dyDescent="0.3">
      <c r="A56" s="8" t="str">
        <f>IF(CONFIG!A72="","",CONFIG!A72)</f>
        <v/>
      </c>
      <c r="C56" s="11" t="str" cm="1">
        <f t="array" ref="C56">IF(A56="","",Eval(B56))</f>
        <v/>
      </c>
    </row>
    <row r="57" spans="1:3" x14ac:dyDescent="0.3">
      <c r="A57" s="8" t="str">
        <f>IF(CONFIG!A73="","",CONFIG!A73)</f>
        <v/>
      </c>
    </row>
    <row r="58" spans="1:3" x14ac:dyDescent="0.3">
      <c r="A58" s="8" t="str">
        <f>IF(CONFIG!A74="","",CONFIG!A74)</f>
        <v/>
      </c>
    </row>
    <row r="59" spans="1:3" x14ac:dyDescent="0.3">
      <c r="A59" s="8" t="str">
        <f>IF(CONFIG!A75="","",CONFIG!A75)</f>
        <v/>
      </c>
    </row>
    <row r="60" spans="1:3" x14ac:dyDescent="0.3">
      <c r="A60" s="8" t="str">
        <f>IF(CONFIG!A76="","",CONFIG!A76)</f>
        <v/>
      </c>
    </row>
    <row r="61" spans="1:3" x14ac:dyDescent="0.3">
      <c r="A61" s="8" t="str">
        <f>IF(CONFIG!A77="","",CONFIG!A77)</f>
        <v/>
      </c>
    </row>
    <row r="62" spans="1:3" x14ac:dyDescent="0.3">
      <c r="A62" s="8" t="str">
        <f>IF(CONFIG!A78="","",CONFIG!A78)</f>
        <v/>
      </c>
    </row>
    <row r="63" spans="1:3" x14ac:dyDescent="0.3">
      <c r="A63" s="8" t="str">
        <f>IF(CONFIG!A79="","",CONFIG!A79)</f>
        <v/>
      </c>
    </row>
    <row r="64" spans="1:3" x14ac:dyDescent="0.3">
      <c r="A64" s="8" t="str">
        <f>IF(CONFIG!A80="","",CONFIG!A80)</f>
        <v/>
      </c>
    </row>
    <row r="65" spans="1:1" x14ac:dyDescent="0.3">
      <c r="A65" s="8" t="str">
        <f>IF(CONFIG!A81="","",CONFIG!A81)</f>
        <v/>
      </c>
    </row>
    <row r="66" spans="1:1" x14ac:dyDescent="0.3">
      <c r="A66" s="8" t="str">
        <f>IF(CONFIG!A82="","",CONFIG!A82)</f>
        <v/>
      </c>
    </row>
    <row r="67" spans="1:1" x14ac:dyDescent="0.3">
      <c r="A67" s="8" t="str">
        <f>IF(CONFIG!A83="","",CONFIG!A83)</f>
        <v/>
      </c>
    </row>
    <row r="68" spans="1:1" x14ac:dyDescent="0.3">
      <c r="A68" s="8" t="str">
        <f>IF(CONFIG!A84="","",CONFIG!A84)</f>
        <v/>
      </c>
    </row>
    <row r="69" spans="1:1" x14ac:dyDescent="0.3">
      <c r="A69" s="8" t="str">
        <f>IF(CONFIG!A85="","",CONFIG!A85)</f>
        <v/>
      </c>
    </row>
    <row r="70" spans="1:1" x14ac:dyDescent="0.3">
      <c r="A70" s="8" t="str">
        <f>IF(CONFIG!A86="","",CONFIG!A86)</f>
        <v/>
      </c>
    </row>
    <row r="71" spans="1:1" x14ac:dyDescent="0.3">
      <c r="A71" s="8" t="str">
        <f>IF(CONFIG!A87="","",CONFIG!A87)</f>
        <v/>
      </c>
    </row>
    <row r="72" spans="1:1" x14ac:dyDescent="0.3">
      <c r="A72" s="8" t="str">
        <f>IF(CONFIG!A88="","",CONFIG!A88)</f>
        <v/>
      </c>
    </row>
    <row r="73" spans="1:1" x14ac:dyDescent="0.3">
      <c r="A73" s="8" t="str">
        <f>IF(CONFIG!A89="","",CONFIG!A89)</f>
        <v/>
      </c>
    </row>
    <row r="74" spans="1:1" x14ac:dyDescent="0.3">
      <c r="A74" s="8" t="str">
        <f>IF(CONFIG!A90="","",CONFIG!A90)</f>
        <v/>
      </c>
    </row>
    <row r="75" spans="1:1" x14ac:dyDescent="0.3">
      <c r="A75" s="8" t="str">
        <f>IF(CONFIG!A91="","",CONFIG!A91)</f>
        <v/>
      </c>
    </row>
    <row r="76" spans="1:1" x14ac:dyDescent="0.3">
      <c r="A76" s="8" t="str">
        <f>IF(CONFIG!A92="","",CONFIG!A92)</f>
        <v/>
      </c>
    </row>
    <row r="77" spans="1:1" x14ac:dyDescent="0.3">
      <c r="A77" s="8" t="str">
        <f>IF(CONFIG!A93="","",CONFIG!A93)</f>
        <v/>
      </c>
    </row>
    <row r="78" spans="1:1" x14ac:dyDescent="0.3">
      <c r="A78" s="8" t="str">
        <f>IF(CONFIG!A94="","",CONFIG!A94)</f>
        <v/>
      </c>
    </row>
    <row r="79" spans="1:1" x14ac:dyDescent="0.3">
      <c r="A79" s="8" t="str">
        <f>IF(CONFIG!A95="","",CONFIG!A95)</f>
        <v/>
      </c>
    </row>
    <row r="80" spans="1:1" x14ac:dyDescent="0.3">
      <c r="A80" s="8" t="str">
        <f>IF(CONFIG!A96="","",CONFIG!A96)</f>
        <v/>
      </c>
    </row>
    <row r="81" spans="1:1" x14ac:dyDescent="0.3">
      <c r="A81" s="8" t="str">
        <f>IF(CONFIG!A97="","",CONFIG!A97)</f>
        <v/>
      </c>
    </row>
    <row r="82" spans="1:1" x14ac:dyDescent="0.3">
      <c r="A82" s="8" t="str">
        <f>IF(CONFIG!A98="","",CONFIG!A98)</f>
        <v/>
      </c>
    </row>
    <row r="83" spans="1:1" x14ac:dyDescent="0.3">
      <c r="A83" s="8" t="str">
        <f>IF(CONFIG!A99="","",CONFIG!A99)</f>
        <v/>
      </c>
    </row>
    <row r="84" spans="1:1" x14ac:dyDescent="0.3">
      <c r="A84" s="8" t="str">
        <f>IF(CONFIG!A100="","",CONFIG!A100)</f>
        <v/>
      </c>
    </row>
    <row r="85" spans="1:1" x14ac:dyDescent="0.3">
      <c r="A85" s="8" t="str">
        <f>IF(CONFIG!A101="","",CONFIG!A101)</f>
        <v/>
      </c>
    </row>
    <row r="86" spans="1:1" x14ac:dyDescent="0.3">
      <c r="A86" s="8" t="str">
        <f>IF(CONFIG!A102="","",CONFIG!A102)</f>
        <v/>
      </c>
    </row>
    <row r="87" spans="1:1" x14ac:dyDescent="0.3">
      <c r="A87" s="8" t="str">
        <f>IF(CONFIG!A103="","",CONFIG!A103)</f>
        <v/>
      </c>
    </row>
    <row r="88" spans="1:1" x14ac:dyDescent="0.3">
      <c r="A88" s="8" t="str">
        <f>IF(CONFIG!A104="","",CONFIG!A104)</f>
        <v/>
      </c>
    </row>
    <row r="89" spans="1:1" x14ac:dyDescent="0.3">
      <c r="A89" s="8" t="str">
        <f>IF(CONFIG!A105="","",CONFIG!A105)</f>
        <v/>
      </c>
    </row>
    <row r="90" spans="1:1" x14ac:dyDescent="0.3">
      <c r="A90" s="8" t="str">
        <f>IF(CONFIG!A106="","",CONFIG!A106)</f>
        <v/>
      </c>
    </row>
    <row r="91" spans="1:1" x14ac:dyDescent="0.3">
      <c r="A91" s="8" t="str">
        <f>IF(CONFIG!A107="","",CONFIG!A107)</f>
        <v/>
      </c>
    </row>
    <row r="92" spans="1:1" x14ac:dyDescent="0.3">
      <c r="A92" s="8" t="str">
        <f>IF(CONFIG!A108="","",CONFIG!A108)</f>
        <v/>
      </c>
    </row>
    <row r="93" spans="1:1" x14ac:dyDescent="0.3">
      <c r="A93" s="8" t="str">
        <f>IF(CONFIG!A109="","",CONFIG!A109)</f>
        <v/>
      </c>
    </row>
    <row r="94" spans="1:1" x14ac:dyDescent="0.3">
      <c r="A94" s="8" t="str">
        <f>IF(CONFIG!A110="","",CONFIG!A110)</f>
        <v/>
      </c>
    </row>
    <row r="95" spans="1:1" x14ac:dyDescent="0.3">
      <c r="A95" s="8" t="str">
        <f>IF(CONFIG!A111="","",CONFIG!A111)</f>
        <v/>
      </c>
    </row>
    <row r="96" spans="1:1" x14ac:dyDescent="0.3">
      <c r="A96" s="8" t="str">
        <f>IF(CONFIG!A112="","",CONFIG!A112)</f>
        <v/>
      </c>
    </row>
    <row r="97" spans="1:1" x14ac:dyDescent="0.3">
      <c r="A97" s="8" t="str">
        <f>IF(CONFIG!A113="","",CONFIG!A113)</f>
        <v/>
      </c>
    </row>
    <row r="98" spans="1:1" x14ac:dyDescent="0.3">
      <c r="A98" s="8" t="str">
        <f>IF(CONFIG!A114="","",CONFIG!A114)</f>
        <v/>
      </c>
    </row>
    <row r="99" spans="1:1" x14ac:dyDescent="0.3">
      <c r="A99" s="8" t="str">
        <f>IF(CONFIG!A115="","",CONFIG!A115)</f>
        <v/>
      </c>
    </row>
    <row r="100" spans="1:1" x14ac:dyDescent="0.3">
      <c r="A100" s="8" t="str">
        <f>IF(CONFIG!A116="","",CONFIG!A116)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D2:D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3CA1-8CBF-4E0D-A5D6-4ABE43FE38AA}">
  <sheetPr codeName="Planilha5">
    <tabColor theme="1"/>
  </sheetPr>
  <dimension ref="A1:H336"/>
  <sheetViews>
    <sheetView workbookViewId="0">
      <selection activeCell="B18" sqref="B18"/>
    </sheetView>
  </sheetViews>
  <sheetFormatPr defaultRowHeight="14.4" x14ac:dyDescent="0.3"/>
  <cols>
    <col min="1" max="1" width="18.88671875" style="20" bestFit="1" customWidth="1"/>
    <col min="2" max="2" width="20.21875" style="20" customWidth="1"/>
    <col min="3" max="3" width="16.6640625" style="20" bestFit="1" customWidth="1"/>
    <col min="4" max="4" width="6.44140625" style="20" bestFit="1" customWidth="1"/>
    <col min="5" max="5" width="16.6640625" style="20" bestFit="1" customWidth="1"/>
  </cols>
  <sheetData>
    <row r="1" spans="1:8" x14ac:dyDescent="0.3">
      <c r="A1" s="22" t="s">
        <v>102</v>
      </c>
      <c r="B1" s="23" t="s">
        <v>96</v>
      </c>
      <c r="H1" s="8" t="s">
        <v>169</v>
      </c>
    </row>
    <row r="2" spans="1:8" x14ac:dyDescent="0.3">
      <c r="A2" s="20" t="s">
        <v>92</v>
      </c>
      <c r="B2" s="20">
        <f>[1]Controle!$A$28</f>
        <v>6</v>
      </c>
      <c r="C2" s="20" t="s">
        <v>110</v>
      </c>
      <c r="D2" s="20">
        <f ca="1">LOOKUP(B1,INDIRECT(D22&amp;"!Tabela1[Cidade]"),INDIRECT(D22&amp;"!Tabela1[Multi Geral]"))</f>
        <v>1.2</v>
      </c>
      <c r="H2" s="8" t="s">
        <v>167</v>
      </c>
    </row>
    <row r="3" spans="1:8" x14ac:dyDescent="0.3">
      <c r="A3" s="20" t="s">
        <v>95</v>
      </c>
      <c r="B3" s="20">
        <f ca="1">MATCH(B1,INDIRECT(D22&amp;"!Tabela1[Cidade]"),0)</f>
        <v>5</v>
      </c>
      <c r="C3" s="20" t="s">
        <v>111</v>
      </c>
      <c r="D3" s="20">
        <f ca="1">LOOKUP(B1,INDIRECT(D22&amp;"!Tabela1[Cidade]"),INDIRECT(D22&amp;"!Tabela1[Mult Randômico]"))</f>
        <v>1.2100000167265534E-3</v>
      </c>
    </row>
    <row r="4" spans="1:8" x14ac:dyDescent="0.3">
      <c r="C4" s="20" t="s">
        <v>112</v>
      </c>
      <c r="D4" s="14">
        <f ca="1">D2+D3</f>
        <v>1.2012100000167265</v>
      </c>
    </row>
    <row r="6" spans="1:8" x14ac:dyDescent="0.3">
      <c r="A6" s="43" t="s">
        <v>100</v>
      </c>
      <c r="B6" s="43"/>
      <c r="C6" s="43"/>
      <c r="D6" s="43"/>
      <c r="E6" s="43"/>
    </row>
    <row r="7" spans="1:8" x14ac:dyDescent="0.3">
      <c r="A7" s="15"/>
      <c r="B7" s="15"/>
      <c r="C7" s="15"/>
      <c r="D7" s="15"/>
      <c r="E7" s="15"/>
    </row>
    <row r="8" spans="1:8" x14ac:dyDescent="0.3">
      <c r="A8" s="43" t="s">
        <v>101</v>
      </c>
      <c r="B8" s="43"/>
      <c r="C8" s="43"/>
      <c r="D8" s="43"/>
      <c r="E8" s="43"/>
    </row>
    <row r="9" spans="1:8" x14ac:dyDescent="0.3">
      <c r="A9" s="42" t="s">
        <v>11</v>
      </c>
      <c r="B9" s="42"/>
      <c r="C9" s="42"/>
      <c r="D9" s="42"/>
      <c r="E9" s="42"/>
    </row>
    <row r="10" spans="1:8" x14ac:dyDescent="0.3">
      <c r="A10" s="16" t="str" cm="1">
        <f t="array" aca="1" ref="A10" ca="1">INDIRECT(D23&amp;"Controle'!$K$5")</f>
        <v>1 dinheiro</v>
      </c>
      <c r="B10" s="17" t="str" cm="1">
        <f t="array" aca="1" ref="B10" ca="1">INDIRECT(D23&amp;"Controle'!$L$5")</f>
        <v>PC</v>
      </c>
      <c r="C10" s="17" t="str" cm="1">
        <f t="array" aca="1" ref="C10" ca="1">INDIRECT(D23&amp;"Controle'!$M$5")</f>
        <v>PP</v>
      </c>
      <c r="D10" s="17" t="str" cm="1">
        <f t="array" aca="1" ref="D10" ca="1">INDIRECT(D23&amp;"Controle'!$N$5")</f>
        <v>PO</v>
      </c>
      <c r="E10" s="17" t="str" cm="1">
        <f t="array" aca="1" ref="E10" ca="1">INDIRECT(D23&amp;"Controle'!$O$5")</f>
        <v>Barra de Ouro</v>
      </c>
    </row>
    <row r="11" spans="1:8" x14ac:dyDescent="0.3">
      <c r="A11" s="18" cm="1">
        <f t="array" aca="1" ref="A11" ca="1">INDIRECT(D23&amp;"Controle'!$K$6")</f>
        <v>1</v>
      </c>
      <c r="B11" s="18" cm="1">
        <f t="array" aca="1" ref="B11" ca="1">INDIRECT(D23&amp;"Controle'!$L$6")</f>
        <v>1</v>
      </c>
      <c r="C11" s="18" cm="1">
        <f t="array" aca="1" ref="C11" ca="1">INDIRECT(D23&amp;"Controle'!$M$6")</f>
        <v>20</v>
      </c>
      <c r="D11" s="18" cm="1">
        <f t="array" aca="1" ref="D11" ca="1">INDIRECT(D23&amp;"Controle'!$N$6")</f>
        <v>20</v>
      </c>
      <c r="E11" s="18" cm="1">
        <f t="array" aca="1" ref="E11" ca="1">INDIRECT(D23&amp;"Controle'!$O$6")</f>
        <v>400</v>
      </c>
    </row>
    <row r="12" spans="1:8" x14ac:dyDescent="0.3">
      <c r="A12" s="18">
        <f ca="1">A11</f>
        <v>1</v>
      </c>
      <c r="B12" s="19">
        <f ca="1">A11*B11</f>
        <v>1</v>
      </c>
      <c r="C12" s="19">
        <f ca="1">B12*C11</f>
        <v>20</v>
      </c>
      <c r="D12" s="19">
        <f ca="1">C12*D11</f>
        <v>400</v>
      </c>
      <c r="E12" s="19">
        <f ca="1">D12*E11</f>
        <v>160000</v>
      </c>
    </row>
    <row r="14" spans="1:8" x14ac:dyDescent="0.3">
      <c r="G14" s="41"/>
    </row>
    <row r="16" spans="1:8" s="24" customFormat="1" x14ac:dyDescent="0.3">
      <c r="A16" s="31" t="s">
        <v>103</v>
      </c>
      <c r="B16" s="21"/>
      <c r="C16" s="20" t="s">
        <v>153</v>
      </c>
      <c r="D16" s="41" t="s">
        <v>168</v>
      </c>
      <c r="E16" s="21"/>
    </row>
    <row r="17" spans="1:5" s="24" customFormat="1" x14ac:dyDescent="0.3">
      <c r="A17" s="32"/>
      <c r="B17" s="21"/>
      <c r="C17" s="20" t="s">
        <v>154</v>
      </c>
      <c r="D17" s="20" t="s">
        <v>155</v>
      </c>
      <c r="E17" s="21"/>
    </row>
    <row r="18" spans="1:5" s="24" customFormat="1" x14ac:dyDescent="0.3">
      <c r="A18" s="32" t="str" cm="1">
        <f t="array" aca="1" ref="A18:A23" ca="1">INDIRECT(D22&amp;"!Tabela1[Cidade]")</f>
        <v>Andíl</v>
      </c>
      <c r="B18" s="21"/>
      <c r="C18" s="14" t="s">
        <v>157</v>
      </c>
      <c r="D18" s="14" t="s">
        <v>158</v>
      </c>
      <c r="E18" s="21"/>
    </row>
    <row r="19" spans="1:5" s="24" customFormat="1" x14ac:dyDescent="0.3">
      <c r="A19" s="32" t="str">
        <f ca="1"/>
        <v>Arkma</v>
      </c>
      <c r="B19" s="21"/>
      <c r="C19" s="20"/>
      <c r="D19" s="14">
        <f>LEN(D16)</f>
        <v>123</v>
      </c>
      <c r="E19" s="21"/>
    </row>
    <row r="20" spans="1:5" s="24" customFormat="1" x14ac:dyDescent="0.3">
      <c r="A20" s="32" t="str">
        <f ca="1"/>
        <v>Faristéia</v>
      </c>
      <c r="B20" s="21"/>
      <c r="C20" s="20"/>
      <c r="D20" s="20">
        <f>LEN(D17)</f>
        <v>7</v>
      </c>
      <c r="E20" s="21"/>
    </row>
    <row r="21" spans="1:5" s="24" customFormat="1" x14ac:dyDescent="0.3">
      <c r="A21" s="32" t="str">
        <f ca="1"/>
        <v>Nesmé</v>
      </c>
      <c r="B21" s="21"/>
      <c r="C21" s="20" t="s">
        <v>156</v>
      </c>
      <c r="D21" s="20" t="str">
        <f>LEFT(D16,D19-D20)&amp;D18</f>
        <v>D:\Users\Matheus\Documents\RPG\Taberna Maça Envenenada\Aventuras Prontas\Medieval\Novo Continente\Mercado v1.0.0.02\Controle.xlsm</v>
      </c>
      <c r="E21" s="21"/>
    </row>
    <row r="22" spans="1:5" s="24" customFormat="1" x14ac:dyDescent="0.3">
      <c r="A22" s="32" t="str">
        <f ca="1"/>
        <v>Nova Bretânia</v>
      </c>
      <c r="B22" s="21"/>
      <c r="C22" s="21"/>
      <c r="D22" s="20" t="str">
        <f>"'"&amp;D21&amp;"'"</f>
        <v>'D:\Users\Matheus\Documents\RPG\Taberna Maça Envenenada\Aventuras Prontas\Medieval\Novo Continente\Mercado v1.0.0.02\Controle.xlsm'</v>
      </c>
      <c r="E22" s="21"/>
    </row>
    <row r="23" spans="1:5" s="24" customFormat="1" x14ac:dyDescent="0.3">
      <c r="A23" s="32" t="str">
        <f ca="1"/>
        <v>Vila Lór</v>
      </c>
      <c r="B23" s="21"/>
      <c r="D23" s="14" t="str">
        <f>"'"&amp;LEFT(D16,D19-D20)&amp;"["&amp;D18&amp;"]"</f>
        <v>'D:\Users\Matheus\Documents\RPG\Taberna Maça Envenenada\Aventuras Prontas\Medieval\Novo Continente\Mercado v1.0.0.02\[Controle.xlsm]</v>
      </c>
      <c r="E23" s="21"/>
    </row>
    <row r="24" spans="1:5" s="24" customFormat="1" x14ac:dyDescent="0.3">
      <c r="A24" s="32"/>
      <c r="B24" s="21"/>
      <c r="E24" s="21"/>
    </row>
    <row r="25" spans="1:5" s="24" customFormat="1" x14ac:dyDescent="0.3">
      <c r="A25" s="32"/>
      <c r="B25" s="21"/>
      <c r="E25" s="21"/>
    </row>
    <row r="26" spans="1:5" s="24" customFormat="1" x14ac:dyDescent="0.3">
      <c r="A26" s="32"/>
      <c r="B26" s="21"/>
      <c r="C26" s="21"/>
      <c r="D26" s="21"/>
      <c r="E26" s="21"/>
    </row>
    <row r="27" spans="1:5" s="24" customFormat="1" x14ac:dyDescent="0.3">
      <c r="A27" s="32"/>
      <c r="B27" s="21"/>
      <c r="C27" s="21"/>
      <c r="D27" s="41" t="str" cm="1">
        <f t="array" ref="D27">DisplayWorkbookPath()</f>
        <v>D:\Users\Matheus\Documents\RPG\Taberna Maça Envenenada\Aventuras Prontas\Medieval\Novo Continente\Mercado v1.0.0.02\Cidades</v>
      </c>
      <c r="E27" s="21"/>
    </row>
    <row r="28" spans="1:5" s="24" customFormat="1" x14ac:dyDescent="0.3">
      <c r="A28" s="32"/>
      <c r="B28" s="21"/>
      <c r="C28" s="21"/>
      <c r="D28" s="21"/>
      <c r="E28" s="21"/>
    </row>
    <row r="29" spans="1:5" s="24" customFormat="1" x14ac:dyDescent="0.3">
      <c r="A29" s="32"/>
      <c r="B29" s="21"/>
      <c r="C29" s="21"/>
      <c r="D29" s="21"/>
      <c r="E29" s="21"/>
    </row>
    <row r="30" spans="1:5" s="24" customFormat="1" x14ac:dyDescent="0.3">
      <c r="A30" s="32"/>
      <c r="B30" s="21"/>
      <c r="C30" s="21"/>
      <c r="D30" s="21"/>
      <c r="E30" s="21"/>
    </row>
    <row r="31" spans="1:5" s="24" customFormat="1" x14ac:dyDescent="0.3">
      <c r="A31" s="32"/>
      <c r="B31" s="21"/>
      <c r="C31" s="21"/>
      <c r="D31" s="21"/>
      <c r="E31" s="21"/>
    </row>
    <row r="32" spans="1:5" s="24" customFormat="1" x14ac:dyDescent="0.3">
      <c r="A32" s="32"/>
      <c r="B32" s="21"/>
      <c r="C32" s="21"/>
      <c r="D32" s="21"/>
      <c r="E32" s="21"/>
    </row>
    <row r="33" spans="1:5" s="24" customFormat="1" x14ac:dyDescent="0.3">
      <c r="A33" s="32"/>
      <c r="B33" s="21"/>
      <c r="C33" s="21"/>
      <c r="D33" s="21"/>
      <c r="E33" s="21"/>
    </row>
    <row r="34" spans="1:5" s="24" customFormat="1" x14ac:dyDescent="0.3">
      <c r="A34" s="32"/>
      <c r="B34" s="21"/>
      <c r="C34" s="21"/>
      <c r="D34" s="21"/>
      <c r="E34" s="21"/>
    </row>
    <row r="35" spans="1:5" s="24" customFormat="1" x14ac:dyDescent="0.3">
      <c r="A35" s="32"/>
      <c r="B35" s="21"/>
      <c r="C35" s="21"/>
      <c r="D35" s="21"/>
      <c r="E35" s="21"/>
    </row>
    <row r="36" spans="1:5" s="24" customFormat="1" x14ac:dyDescent="0.3">
      <c r="A36" s="32"/>
      <c r="B36" s="21"/>
      <c r="C36" s="21"/>
      <c r="D36" s="21"/>
      <c r="E36" s="21"/>
    </row>
    <row r="37" spans="1:5" s="24" customFormat="1" x14ac:dyDescent="0.3">
      <c r="A37" s="32"/>
      <c r="B37" s="21"/>
      <c r="C37" s="21"/>
      <c r="D37" s="21"/>
      <c r="E37" s="21"/>
    </row>
    <row r="38" spans="1:5" s="24" customFormat="1" x14ac:dyDescent="0.3">
      <c r="A38" s="32"/>
      <c r="B38" s="21"/>
      <c r="C38" s="21"/>
      <c r="D38" s="21"/>
      <c r="E38" s="21"/>
    </row>
    <row r="39" spans="1:5" s="24" customFormat="1" x14ac:dyDescent="0.3">
      <c r="A39" s="32"/>
      <c r="B39" s="21"/>
      <c r="C39" s="21"/>
      <c r="D39" s="21"/>
      <c r="E39" s="21"/>
    </row>
    <row r="40" spans="1:5" s="24" customFormat="1" x14ac:dyDescent="0.3">
      <c r="A40" s="32"/>
      <c r="B40" s="21"/>
      <c r="C40" s="21"/>
      <c r="D40" s="21"/>
      <c r="E40" s="21"/>
    </row>
    <row r="41" spans="1:5" s="24" customFormat="1" x14ac:dyDescent="0.3">
      <c r="A41" s="32"/>
      <c r="B41" s="21"/>
      <c r="C41" s="21"/>
      <c r="D41" s="21"/>
      <c r="E41" s="21"/>
    </row>
    <row r="42" spans="1:5" s="24" customFormat="1" x14ac:dyDescent="0.3">
      <c r="A42" s="32"/>
      <c r="B42" s="21"/>
      <c r="C42" s="21"/>
      <c r="D42" s="21"/>
      <c r="E42" s="21"/>
    </row>
    <row r="43" spans="1:5" s="24" customFormat="1" x14ac:dyDescent="0.3">
      <c r="A43" s="32"/>
      <c r="B43" s="21"/>
      <c r="C43" s="21"/>
      <c r="D43" s="21"/>
      <c r="E43" s="21"/>
    </row>
    <row r="44" spans="1:5" s="24" customFormat="1" x14ac:dyDescent="0.3">
      <c r="A44" s="32"/>
      <c r="B44" s="21"/>
      <c r="C44" s="21"/>
      <c r="D44" s="21"/>
      <c r="E44" s="21"/>
    </row>
    <row r="45" spans="1:5" s="24" customFormat="1" x14ac:dyDescent="0.3">
      <c r="A45" s="32"/>
      <c r="B45" s="21"/>
      <c r="C45" s="21"/>
      <c r="D45" s="21"/>
      <c r="E45" s="21"/>
    </row>
    <row r="46" spans="1:5" s="24" customFormat="1" x14ac:dyDescent="0.3">
      <c r="A46" s="32"/>
      <c r="B46" s="21"/>
      <c r="C46" s="21"/>
      <c r="D46" s="21"/>
      <c r="E46" s="21"/>
    </row>
    <row r="47" spans="1:5" s="24" customFormat="1" x14ac:dyDescent="0.3">
      <c r="A47" s="32"/>
      <c r="B47" s="21"/>
      <c r="C47" s="21"/>
      <c r="D47" s="21"/>
      <c r="E47" s="21"/>
    </row>
    <row r="48" spans="1:5" s="24" customFormat="1" x14ac:dyDescent="0.3">
      <c r="A48" s="32"/>
      <c r="B48" s="21"/>
      <c r="C48" s="21"/>
      <c r="D48" s="21"/>
      <c r="E48" s="21"/>
    </row>
    <row r="49" spans="1:5" s="24" customFormat="1" x14ac:dyDescent="0.3">
      <c r="A49" s="32"/>
      <c r="B49" s="21"/>
      <c r="C49" s="21"/>
      <c r="D49" s="21"/>
      <c r="E49" s="21"/>
    </row>
    <row r="50" spans="1:5" s="24" customFormat="1" x14ac:dyDescent="0.3">
      <c r="A50" s="32"/>
      <c r="B50" s="21"/>
      <c r="C50" s="21"/>
      <c r="D50" s="21"/>
      <c r="E50" s="21"/>
    </row>
    <row r="51" spans="1:5" s="24" customFormat="1" x14ac:dyDescent="0.3">
      <c r="A51" s="32"/>
      <c r="B51" s="21"/>
      <c r="C51" s="21"/>
      <c r="D51" s="21"/>
      <c r="E51" s="21"/>
    </row>
    <row r="52" spans="1:5" s="24" customFormat="1" x14ac:dyDescent="0.3">
      <c r="A52" s="32"/>
      <c r="B52" s="21"/>
      <c r="C52" s="21"/>
      <c r="D52" s="21"/>
      <c r="E52" s="21"/>
    </row>
    <row r="53" spans="1:5" s="24" customFormat="1" x14ac:dyDescent="0.3">
      <c r="A53" s="32"/>
      <c r="B53" s="21"/>
      <c r="C53" s="21"/>
      <c r="D53" s="21"/>
      <c r="E53" s="21"/>
    </row>
    <row r="54" spans="1:5" s="24" customFormat="1" x14ac:dyDescent="0.3">
      <c r="A54" s="32"/>
      <c r="B54" s="21"/>
      <c r="C54" s="21"/>
      <c r="D54" s="21"/>
      <c r="E54" s="21"/>
    </row>
    <row r="55" spans="1:5" s="24" customFormat="1" x14ac:dyDescent="0.3">
      <c r="A55" s="32"/>
      <c r="B55" s="21"/>
      <c r="C55" s="21"/>
      <c r="D55" s="21"/>
      <c r="E55" s="21"/>
    </row>
    <row r="56" spans="1:5" s="24" customFormat="1" x14ac:dyDescent="0.3">
      <c r="A56" s="32"/>
      <c r="B56" s="21"/>
      <c r="C56" s="21"/>
      <c r="D56" s="21"/>
      <c r="E56" s="21"/>
    </row>
    <row r="57" spans="1:5" s="24" customFormat="1" x14ac:dyDescent="0.3">
      <c r="A57" s="32"/>
      <c r="B57" s="21"/>
      <c r="C57" s="21"/>
      <c r="D57" s="21"/>
      <c r="E57" s="21"/>
    </row>
    <row r="58" spans="1:5" s="24" customFormat="1" x14ac:dyDescent="0.3">
      <c r="A58" s="32"/>
      <c r="B58" s="21"/>
      <c r="C58" s="21"/>
      <c r="D58" s="21"/>
      <c r="E58" s="21"/>
    </row>
    <row r="59" spans="1:5" s="24" customFormat="1" x14ac:dyDescent="0.3">
      <c r="A59" s="32"/>
      <c r="B59" s="21"/>
      <c r="C59" s="21"/>
      <c r="D59" s="21"/>
      <c r="E59" s="21"/>
    </row>
    <row r="60" spans="1:5" s="24" customFormat="1" x14ac:dyDescent="0.3">
      <c r="A60" s="32"/>
      <c r="B60" s="21"/>
      <c r="C60" s="21"/>
      <c r="D60" s="21"/>
      <c r="E60" s="21"/>
    </row>
    <row r="61" spans="1:5" s="24" customFormat="1" x14ac:dyDescent="0.3">
      <c r="A61" s="32"/>
      <c r="B61" s="21"/>
      <c r="C61" s="21"/>
      <c r="D61" s="21"/>
      <c r="E61" s="21"/>
    </row>
    <row r="62" spans="1:5" s="24" customFormat="1" x14ac:dyDescent="0.3">
      <c r="A62" s="32"/>
      <c r="B62" s="21"/>
      <c r="C62" s="21"/>
      <c r="D62" s="21"/>
      <c r="E62" s="21"/>
    </row>
    <row r="63" spans="1:5" s="24" customFormat="1" x14ac:dyDescent="0.3">
      <c r="A63" s="32"/>
      <c r="B63" s="21"/>
      <c r="C63" s="21"/>
      <c r="D63" s="21"/>
      <c r="E63" s="21"/>
    </row>
    <row r="64" spans="1:5" s="24" customFormat="1" x14ac:dyDescent="0.3">
      <c r="A64" s="32"/>
      <c r="B64" s="21"/>
      <c r="C64" s="21"/>
      <c r="D64" s="21"/>
      <c r="E64" s="21"/>
    </row>
    <row r="65" spans="1:5" s="24" customFormat="1" x14ac:dyDescent="0.3">
      <c r="A65" s="32"/>
      <c r="B65" s="21"/>
      <c r="C65" s="21"/>
      <c r="D65" s="21"/>
      <c r="E65" s="21"/>
    </row>
    <row r="66" spans="1:5" s="24" customFormat="1" x14ac:dyDescent="0.3">
      <c r="A66" s="32"/>
      <c r="B66" s="21"/>
      <c r="C66" s="21"/>
      <c r="D66" s="21"/>
      <c r="E66" s="21"/>
    </row>
    <row r="67" spans="1:5" s="24" customFormat="1" x14ac:dyDescent="0.3">
      <c r="A67" s="33"/>
      <c r="B67" s="21"/>
      <c r="C67" s="21"/>
      <c r="D67" s="21"/>
      <c r="E67" s="21"/>
    </row>
    <row r="68" spans="1:5" s="24" customFormat="1" x14ac:dyDescent="0.3">
      <c r="A68" s="20"/>
      <c r="B68" s="21"/>
      <c r="C68" s="21"/>
      <c r="D68" s="21"/>
      <c r="E68" s="21"/>
    </row>
    <row r="69" spans="1:5" s="24" customFormat="1" x14ac:dyDescent="0.3">
      <c r="A69" s="20"/>
      <c r="B69" s="21"/>
      <c r="C69" s="21"/>
      <c r="D69" s="21"/>
      <c r="E69" s="21"/>
    </row>
    <row r="70" spans="1:5" s="24" customFormat="1" x14ac:dyDescent="0.3">
      <c r="A70" s="20"/>
      <c r="B70" s="21"/>
      <c r="C70" s="21"/>
      <c r="D70" s="21"/>
      <c r="E70" s="21"/>
    </row>
    <row r="71" spans="1:5" s="24" customFormat="1" x14ac:dyDescent="0.3">
      <c r="A71" s="20"/>
      <c r="B71" s="21"/>
      <c r="C71" s="21"/>
      <c r="D71" s="21"/>
      <c r="E71" s="21"/>
    </row>
    <row r="72" spans="1:5" s="24" customFormat="1" x14ac:dyDescent="0.3">
      <c r="A72" s="20"/>
      <c r="B72" s="21"/>
      <c r="C72" s="21"/>
      <c r="D72" s="21"/>
      <c r="E72" s="21"/>
    </row>
    <row r="73" spans="1:5" s="24" customFormat="1" x14ac:dyDescent="0.3">
      <c r="A73" s="20"/>
      <c r="B73" s="21"/>
      <c r="C73" s="21"/>
      <c r="D73" s="21"/>
      <c r="E73" s="21"/>
    </row>
    <row r="74" spans="1:5" s="24" customFormat="1" x14ac:dyDescent="0.3">
      <c r="A74" s="20"/>
      <c r="B74" s="21"/>
      <c r="C74" s="21"/>
      <c r="D74" s="21"/>
      <c r="E74" s="21"/>
    </row>
    <row r="75" spans="1:5" s="24" customFormat="1" x14ac:dyDescent="0.3">
      <c r="A75" s="20"/>
      <c r="B75" s="21"/>
      <c r="C75" s="21"/>
      <c r="D75" s="21"/>
      <c r="E75" s="21"/>
    </row>
    <row r="76" spans="1:5" s="24" customFormat="1" x14ac:dyDescent="0.3">
      <c r="A76" s="20"/>
      <c r="B76" s="21"/>
      <c r="C76" s="21"/>
      <c r="D76" s="21"/>
      <c r="E76" s="21"/>
    </row>
    <row r="77" spans="1:5" s="24" customFormat="1" x14ac:dyDescent="0.3">
      <c r="A77" s="20"/>
      <c r="B77" s="21"/>
      <c r="C77" s="21"/>
      <c r="D77" s="21"/>
      <c r="E77" s="21"/>
    </row>
    <row r="78" spans="1:5" s="24" customFormat="1" x14ac:dyDescent="0.3">
      <c r="A78" s="20"/>
      <c r="B78" s="21"/>
      <c r="C78" s="21"/>
      <c r="D78" s="21"/>
      <c r="E78" s="21"/>
    </row>
    <row r="79" spans="1:5" s="24" customFormat="1" x14ac:dyDescent="0.3">
      <c r="A79" s="20"/>
      <c r="B79" s="21"/>
      <c r="C79" s="21"/>
      <c r="D79" s="21"/>
      <c r="E79" s="21"/>
    </row>
    <row r="80" spans="1:5" s="24" customFormat="1" x14ac:dyDescent="0.3">
      <c r="A80" s="20"/>
      <c r="B80" s="21"/>
      <c r="C80" s="21"/>
      <c r="D80" s="21"/>
      <c r="E80" s="21"/>
    </row>
    <row r="81" spans="1:5" s="24" customFormat="1" x14ac:dyDescent="0.3">
      <c r="A81" s="20"/>
      <c r="B81" s="21"/>
      <c r="C81" s="21"/>
      <c r="D81" s="21"/>
      <c r="E81" s="21"/>
    </row>
    <row r="82" spans="1:5" s="24" customFormat="1" x14ac:dyDescent="0.3">
      <c r="A82" s="20"/>
      <c r="B82" s="21"/>
      <c r="C82" s="21"/>
      <c r="D82" s="21"/>
      <c r="E82" s="21"/>
    </row>
    <row r="83" spans="1:5" s="24" customFormat="1" x14ac:dyDescent="0.3">
      <c r="A83" s="20"/>
      <c r="B83" s="21"/>
      <c r="C83" s="21"/>
      <c r="D83" s="21"/>
      <c r="E83" s="21"/>
    </row>
    <row r="84" spans="1:5" s="24" customFormat="1" x14ac:dyDescent="0.3">
      <c r="A84" s="20"/>
      <c r="B84" s="21"/>
      <c r="C84" s="21"/>
      <c r="D84" s="21"/>
      <c r="E84" s="21"/>
    </row>
    <row r="85" spans="1:5" s="24" customFormat="1" x14ac:dyDescent="0.3">
      <c r="A85" s="20"/>
      <c r="B85" s="21"/>
      <c r="C85" s="21"/>
      <c r="D85" s="21"/>
      <c r="E85" s="21"/>
    </row>
    <row r="86" spans="1:5" s="24" customFormat="1" x14ac:dyDescent="0.3">
      <c r="A86" s="20"/>
      <c r="B86" s="21"/>
      <c r="C86" s="21"/>
      <c r="D86" s="21"/>
      <c r="E86" s="21"/>
    </row>
    <row r="87" spans="1:5" s="24" customFormat="1" x14ac:dyDescent="0.3">
      <c r="A87" s="20"/>
      <c r="B87" s="21"/>
      <c r="C87" s="21"/>
      <c r="D87" s="21"/>
      <c r="E87" s="21"/>
    </row>
    <row r="88" spans="1:5" s="24" customFormat="1" x14ac:dyDescent="0.3">
      <c r="A88" s="20"/>
      <c r="B88" s="21"/>
      <c r="C88" s="21"/>
      <c r="D88" s="21"/>
      <c r="E88" s="21"/>
    </row>
    <row r="89" spans="1:5" s="24" customFormat="1" x14ac:dyDescent="0.3">
      <c r="A89" s="20"/>
      <c r="B89" s="21"/>
      <c r="C89" s="21"/>
      <c r="D89" s="21"/>
      <c r="E89" s="21"/>
    </row>
    <row r="90" spans="1:5" s="24" customFormat="1" x14ac:dyDescent="0.3">
      <c r="A90" s="20"/>
      <c r="B90" s="21"/>
      <c r="C90" s="21"/>
      <c r="D90" s="21"/>
      <c r="E90" s="21"/>
    </row>
    <row r="91" spans="1:5" s="24" customFormat="1" x14ac:dyDescent="0.3">
      <c r="A91" s="20"/>
      <c r="B91" s="21"/>
      <c r="C91" s="21"/>
      <c r="D91" s="21"/>
      <c r="E91" s="21"/>
    </row>
    <row r="92" spans="1:5" s="24" customFormat="1" x14ac:dyDescent="0.3">
      <c r="A92" s="20"/>
      <c r="B92" s="21"/>
      <c r="C92" s="21"/>
      <c r="D92" s="21"/>
      <c r="E92" s="21"/>
    </row>
    <row r="93" spans="1:5" s="24" customFormat="1" x14ac:dyDescent="0.3">
      <c r="A93" s="20"/>
      <c r="B93" s="21"/>
      <c r="C93" s="21"/>
      <c r="D93" s="21"/>
      <c r="E93" s="21"/>
    </row>
    <row r="94" spans="1:5" s="24" customFormat="1" x14ac:dyDescent="0.3">
      <c r="A94" s="20"/>
      <c r="B94" s="21"/>
      <c r="C94" s="21"/>
      <c r="D94" s="21"/>
      <c r="E94" s="21"/>
    </row>
    <row r="95" spans="1:5" s="24" customFormat="1" x14ac:dyDescent="0.3">
      <c r="A95" s="20"/>
      <c r="B95" s="21"/>
      <c r="C95" s="21"/>
      <c r="D95" s="21"/>
      <c r="E95" s="21"/>
    </row>
    <row r="96" spans="1:5" s="24" customFormat="1" x14ac:dyDescent="0.3">
      <c r="A96" s="20"/>
      <c r="B96" s="21"/>
      <c r="C96" s="21"/>
      <c r="D96" s="21"/>
      <c r="E96" s="21"/>
    </row>
    <row r="97" spans="1:5" s="24" customFormat="1" x14ac:dyDescent="0.3">
      <c r="A97" s="20"/>
      <c r="B97" s="21"/>
      <c r="C97" s="21"/>
      <c r="D97" s="21"/>
      <c r="E97" s="21"/>
    </row>
    <row r="98" spans="1:5" s="24" customFormat="1" x14ac:dyDescent="0.3">
      <c r="A98" s="20"/>
      <c r="B98" s="21"/>
      <c r="C98" s="21"/>
      <c r="D98" s="21"/>
      <c r="E98" s="21"/>
    </row>
    <row r="99" spans="1:5" s="24" customFormat="1" x14ac:dyDescent="0.3">
      <c r="A99" s="20"/>
      <c r="B99" s="21"/>
      <c r="C99" s="21"/>
      <c r="D99" s="21"/>
      <c r="E99" s="21"/>
    </row>
    <row r="100" spans="1:5" s="24" customFormat="1" x14ac:dyDescent="0.3">
      <c r="A100" s="20"/>
      <c r="B100" s="21"/>
      <c r="C100" s="21"/>
      <c r="D100" s="21"/>
      <c r="E100" s="21"/>
    </row>
    <row r="101" spans="1:5" s="24" customFormat="1" x14ac:dyDescent="0.3">
      <c r="A101" s="20"/>
      <c r="B101" s="21"/>
      <c r="C101" s="21"/>
      <c r="D101" s="21"/>
      <c r="E101" s="21"/>
    </row>
    <row r="102" spans="1:5" s="24" customFormat="1" x14ac:dyDescent="0.3">
      <c r="A102" s="20"/>
      <c r="B102" s="21"/>
      <c r="C102" s="21"/>
      <c r="D102" s="21"/>
      <c r="E102" s="21"/>
    </row>
    <row r="103" spans="1:5" s="24" customFormat="1" x14ac:dyDescent="0.3">
      <c r="A103" s="20"/>
      <c r="B103" s="21"/>
      <c r="C103" s="21"/>
      <c r="D103" s="21"/>
      <c r="E103" s="21"/>
    </row>
    <row r="104" spans="1:5" s="24" customFormat="1" x14ac:dyDescent="0.3">
      <c r="A104" s="20"/>
      <c r="B104" s="21"/>
      <c r="C104" s="21"/>
      <c r="D104" s="21"/>
      <c r="E104" s="21"/>
    </row>
    <row r="105" spans="1:5" s="24" customFormat="1" x14ac:dyDescent="0.3">
      <c r="A105" s="20"/>
      <c r="B105" s="21"/>
      <c r="C105" s="21"/>
      <c r="D105" s="21"/>
      <c r="E105" s="21"/>
    </row>
    <row r="106" spans="1:5" s="24" customFormat="1" x14ac:dyDescent="0.3">
      <c r="A106" s="20"/>
      <c r="B106" s="21"/>
      <c r="C106" s="21"/>
      <c r="D106" s="21"/>
      <c r="E106" s="21"/>
    </row>
    <row r="107" spans="1:5" s="24" customFormat="1" x14ac:dyDescent="0.3">
      <c r="A107" s="20"/>
      <c r="B107" s="21"/>
      <c r="C107" s="21"/>
      <c r="D107" s="21"/>
      <c r="E107" s="21"/>
    </row>
    <row r="108" spans="1:5" s="24" customFormat="1" x14ac:dyDescent="0.3">
      <c r="A108" s="20"/>
      <c r="B108" s="21"/>
      <c r="C108" s="21"/>
      <c r="D108" s="21"/>
      <c r="E108" s="21"/>
    </row>
    <row r="109" spans="1:5" s="24" customFormat="1" x14ac:dyDescent="0.3">
      <c r="A109" s="20"/>
      <c r="B109" s="21"/>
      <c r="C109" s="21"/>
      <c r="D109" s="21"/>
      <c r="E109" s="21"/>
    </row>
    <row r="110" spans="1:5" s="24" customFormat="1" x14ac:dyDescent="0.3">
      <c r="A110" s="20"/>
      <c r="B110" s="21"/>
      <c r="C110" s="21"/>
      <c r="D110" s="21"/>
      <c r="E110" s="21"/>
    </row>
    <row r="111" spans="1:5" s="24" customFormat="1" x14ac:dyDescent="0.3">
      <c r="A111" s="20"/>
      <c r="B111" s="21"/>
      <c r="C111" s="21"/>
      <c r="D111" s="21"/>
      <c r="E111" s="21"/>
    </row>
    <row r="112" spans="1:5" s="24" customFormat="1" x14ac:dyDescent="0.3">
      <c r="A112" s="20"/>
      <c r="B112" s="21"/>
      <c r="C112" s="21"/>
      <c r="D112" s="21"/>
      <c r="E112" s="21"/>
    </row>
    <row r="113" spans="1:5" s="24" customFormat="1" x14ac:dyDescent="0.3">
      <c r="A113" s="20"/>
      <c r="B113" s="21"/>
      <c r="C113" s="21"/>
      <c r="D113" s="21"/>
      <c r="E113" s="21"/>
    </row>
    <row r="114" spans="1:5" s="24" customFormat="1" x14ac:dyDescent="0.3">
      <c r="A114" s="20"/>
      <c r="B114" s="21"/>
      <c r="C114" s="21"/>
      <c r="D114" s="21"/>
      <c r="E114" s="21"/>
    </row>
    <row r="115" spans="1:5" s="24" customFormat="1" x14ac:dyDescent="0.3">
      <c r="A115" s="20"/>
      <c r="B115" s="21"/>
      <c r="C115" s="21"/>
      <c r="D115" s="21"/>
      <c r="E115" s="21"/>
    </row>
    <row r="116" spans="1:5" s="24" customFormat="1" x14ac:dyDescent="0.3">
      <c r="A116" s="20"/>
      <c r="B116" s="21"/>
      <c r="C116" s="21"/>
      <c r="D116" s="21"/>
      <c r="E116" s="21"/>
    </row>
    <row r="117" spans="1:5" s="24" customFormat="1" x14ac:dyDescent="0.3">
      <c r="A117" s="20"/>
      <c r="B117" s="21"/>
      <c r="C117" s="21"/>
      <c r="D117" s="21"/>
      <c r="E117" s="21"/>
    </row>
    <row r="118" spans="1:5" s="24" customFormat="1" x14ac:dyDescent="0.3">
      <c r="A118" s="20"/>
      <c r="B118" s="21"/>
      <c r="C118" s="21"/>
      <c r="D118" s="21"/>
      <c r="E118" s="21"/>
    </row>
    <row r="119" spans="1:5" s="24" customFormat="1" x14ac:dyDescent="0.3">
      <c r="A119" s="20"/>
      <c r="B119" s="21"/>
      <c r="C119" s="21"/>
      <c r="D119" s="21"/>
      <c r="E119" s="21"/>
    </row>
    <row r="120" spans="1:5" s="24" customFormat="1" x14ac:dyDescent="0.3">
      <c r="A120" s="20"/>
      <c r="B120" s="21"/>
      <c r="C120" s="21"/>
      <c r="D120" s="21"/>
      <c r="E120" s="21"/>
    </row>
    <row r="121" spans="1:5" s="24" customFormat="1" x14ac:dyDescent="0.3">
      <c r="A121" s="20"/>
      <c r="B121" s="21"/>
      <c r="C121" s="21"/>
      <c r="D121" s="21"/>
      <c r="E121" s="21"/>
    </row>
    <row r="122" spans="1:5" s="24" customFormat="1" x14ac:dyDescent="0.3">
      <c r="A122" s="20"/>
      <c r="B122" s="21"/>
      <c r="C122" s="21"/>
      <c r="D122" s="21"/>
      <c r="E122" s="21"/>
    </row>
    <row r="123" spans="1:5" s="24" customFormat="1" x14ac:dyDescent="0.3">
      <c r="A123" s="20"/>
      <c r="B123" s="21"/>
      <c r="C123" s="21"/>
      <c r="D123" s="21"/>
      <c r="E123" s="21"/>
    </row>
    <row r="124" spans="1:5" s="24" customFormat="1" x14ac:dyDescent="0.3">
      <c r="A124" s="20"/>
      <c r="B124" s="21"/>
      <c r="C124" s="21"/>
      <c r="D124" s="21"/>
      <c r="E124" s="21"/>
    </row>
    <row r="125" spans="1:5" s="24" customFormat="1" x14ac:dyDescent="0.3">
      <c r="A125" s="20"/>
      <c r="B125" s="21"/>
      <c r="C125" s="21"/>
      <c r="D125" s="21"/>
      <c r="E125" s="21"/>
    </row>
    <row r="126" spans="1:5" s="24" customFormat="1" x14ac:dyDescent="0.3">
      <c r="A126" s="20"/>
      <c r="B126" s="21"/>
      <c r="C126" s="21"/>
      <c r="D126" s="21"/>
      <c r="E126" s="21"/>
    </row>
    <row r="127" spans="1:5" s="24" customFormat="1" x14ac:dyDescent="0.3">
      <c r="A127" s="20"/>
      <c r="B127" s="21"/>
      <c r="C127" s="21"/>
      <c r="D127" s="21"/>
      <c r="E127" s="21"/>
    </row>
    <row r="128" spans="1:5" s="24" customFormat="1" x14ac:dyDescent="0.3">
      <c r="A128" s="20"/>
      <c r="B128" s="21"/>
      <c r="C128" s="21"/>
      <c r="D128" s="21"/>
      <c r="E128" s="21"/>
    </row>
    <row r="129" spans="1:5" s="24" customFormat="1" x14ac:dyDescent="0.3">
      <c r="A129" s="20"/>
      <c r="B129" s="21"/>
      <c r="C129" s="21"/>
      <c r="D129" s="21"/>
      <c r="E129" s="21"/>
    </row>
    <row r="130" spans="1:5" s="24" customFormat="1" x14ac:dyDescent="0.3">
      <c r="A130" s="20"/>
      <c r="B130" s="21"/>
      <c r="C130" s="21"/>
      <c r="D130" s="21"/>
      <c r="E130" s="21"/>
    </row>
    <row r="131" spans="1:5" s="24" customFormat="1" x14ac:dyDescent="0.3">
      <c r="A131" s="20"/>
      <c r="B131" s="21"/>
      <c r="C131" s="21"/>
      <c r="D131" s="21"/>
      <c r="E131" s="21"/>
    </row>
    <row r="132" spans="1:5" s="24" customFormat="1" x14ac:dyDescent="0.3">
      <c r="A132" s="20"/>
      <c r="B132" s="21"/>
      <c r="C132" s="21"/>
      <c r="D132" s="21"/>
      <c r="E132" s="21"/>
    </row>
    <row r="133" spans="1:5" s="24" customFormat="1" x14ac:dyDescent="0.3">
      <c r="A133" s="20"/>
      <c r="B133" s="21"/>
      <c r="C133" s="21"/>
      <c r="D133" s="21"/>
      <c r="E133" s="21"/>
    </row>
    <row r="134" spans="1:5" s="24" customFormat="1" x14ac:dyDescent="0.3">
      <c r="A134" s="20"/>
      <c r="B134" s="21"/>
      <c r="C134" s="21"/>
      <c r="D134" s="21"/>
      <c r="E134" s="21"/>
    </row>
    <row r="135" spans="1:5" s="24" customFormat="1" x14ac:dyDescent="0.3">
      <c r="A135" s="20"/>
      <c r="B135" s="21"/>
      <c r="C135" s="21"/>
      <c r="D135" s="21"/>
      <c r="E135" s="21"/>
    </row>
    <row r="136" spans="1:5" s="24" customFormat="1" x14ac:dyDescent="0.3">
      <c r="A136" s="20"/>
      <c r="B136" s="21"/>
      <c r="C136" s="21"/>
      <c r="D136" s="21"/>
      <c r="E136" s="21"/>
    </row>
    <row r="137" spans="1:5" s="24" customFormat="1" x14ac:dyDescent="0.3">
      <c r="A137" s="20"/>
      <c r="B137" s="21"/>
      <c r="C137" s="21"/>
      <c r="D137" s="21"/>
      <c r="E137" s="21"/>
    </row>
    <row r="138" spans="1:5" s="24" customFormat="1" x14ac:dyDescent="0.3">
      <c r="A138" s="20"/>
      <c r="B138" s="21"/>
      <c r="C138" s="21"/>
      <c r="D138" s="21"/>
      <c r="E138" s="21"/>
    </row>
    <row r="139" spans="1:5" s="24" customFormat="1" x14ac:dyDescent="0.3">
      <c r="A139" s="20"/>
      <c r="B139" s="21"/>
      <c r="C139" s="21"/>
      <c r="D139" s="21"/>
      <c r="E139" s="21"/>
    </row>
    <row r="140" spans="1:5" s="24" customFormat="1" x14ac:dyDescent="0.3">
      <c r="A140" s="20"/>
      <c r="B140" s="21"/>
      <c r="C140" s="21"/>
      <c r="D140" s="21"/>
      <c r="E140" s="21"/>
    </row>
    <row r="141" spans="1:5" s="24" customFormat="1" x14ac:dyDescent="0.3">
      <c r="A141" s="20"/>
      <c r="B141" s="21"/>
      <c r="C141" s="21"/>
      <c r="D141" s="21"/>
      <c r="E141" s="21"/>
    </row>
    <row r="142" spans="1:5" s="24" customFormat="1" x14ac:dyDescent="0.3">
      <c r="A142" s="20"/>
      <c r="B142" s="21"/>
      <c r="C142" s="21"/>
      <c r="D142" s="21"/>
      <c r="E142" s="21"/>
    </row>
    <row r="143" spans="1:5" s="24" customFormat="1" x14ac:dyDescent="0.3">
      <c r="A143" s="20"/>
      <c r="B143" s="21"/>
      <c r="C143" s="21"/>
      <c r="D143" s="21"/>
      <c r="E143" s="21"/>
    </row>
    <row r="144" spans="1:5" s="24" customFormat="1" x14ac:dyDescent="0.3">
      <c r="A144" s="20"/>
      <c r="B144" s="21"/>
      <c r="C144" s="21"/>
      <c r="D144" s="21"/>
      <c r="E144" s="21"/>
    </row>
    <row r="145" spans="1:5" s="24" customFormat="1" x14ac:dyDescent="0.3">
      <c r="A145" s="20"/>
      <c r="B145" s="21"/>
      <c r="C145" s="21"/>
      <c r="D145" s="21"/>
      <c r="E145" s="21"/>
    </row>
    <row r="146" spans="1:5" s="24" customFormat="1" x14ac:dyDescent="0.3">
      <c r="A146" s="20"/>
      <c r="B146" s="21"/>
      <c r="C146" s="21"/>
      <c r="D146" s="21"/>
      <c r="E146" s="21"/>
    </row>
    <row r="147" spans="1:5" s="24" customFormat="1" x14ac:dyDescent="0.3">
      <c r="A147" s="20"/>
      <c r="B147" s="21"/>
      <c r="C147" s="21"/>
      <c r="D147" s="21"/>
      <c r="E147" s="21"/>
    </row>
    <row r="148" spans="1:5" s="24" customFormat="1" x14ac:dyDescent="0.3">
      <c r="A148" s="20"/>
      <c r="B148" s="21"/>
      <c r="C148" s="21"/>
      <c r="D148" s="21"/>
      <c r="E148" s="21"/>
    </row>
    <row r="149" spans="1:5" s="24" customFormat="1" x14ac:dyDescent="0.3">
      <c r="A149" s="20"/>
      <c r="B149" s="21"/>
      <c r="C149" s="21"/>
      <c r="D149" s="21"/>
      <c r="E149" s="21"/>
    </row>
    <row r="150" spans="1:5" s="24" customFormat="1" x14ac:dyDescent="0.3">
      <c r="A150" s="20"/>
      <c r="B150" s="21"/>
      <c r="C150" s="21"/>
      <c r="D150" s="21"/>
      <c r="E150" s="21"/>
    </row>
    <row r="151" spans="1:5" s="24" customFormat="1" x14ac:dyDescent="0.3">
      <c r="A151" s="20"/>
      <c r="B151" s="21"/>
      <c r="C151" s="21"/>
      <c r="D151" s="21"/>
      <c r="E151" s="21"/>
    </row>
    <row r="152" spans="1:5" s="24" customFormat="1" x14ac:dyDescent="0.3">
      <c r="A152" s="20"/>
      <c r="B152" s="21"/>
      <c r="C152" s="21"/>
      <c r="D152" s="21"/>
      <c r="E152" s="21"/>
    </row>
    <row r="153" spans="1:5" s="24" customFormat="1" x14ac:dyDescent="0.3">
      <c r="A153" s="20"/>
      <c r="B153" s="21"/>
      <c r="C153" s="21"/>
      <c r="D153" s="21"/>
      <c r="E153" s="21"/>
    </row>
    <row r="154" spans="1:5" s="24" customFormat="1" x14ac:dyDescent="0.3">
      <c r="A154" s="20"/>
      <c r="B154" s="21"/>
      <c r="C154" s="21"/>
      <c r="D154" s="21"/>
      <c r="E154" s="21"/>
    </row>
    <row r="155" spans="1:5" s="24" customFormat="1" x14ac:dyDescent="0.3">
      <c r="A155" s="20"/>
      <c r="B155" s="21"/>
      <c r="C155" s="21"/>
      <c r="D155" s="21"/>
      <c r="E155" s="21"/>
    </row>
    <row r="156" spans="1:5" s="24" customFormat="1" x14ac:dyDescent="0.3">
      <c r="A156" s="20"/>
      <c r="B156" s="21"/>
      <c r="C156" s="21"/>
      <c r="D156" s="21"/>
      <c r="E156" s="21"/>
    </row>
    <row r="157" spans="1:5" s="24" customFormat="1" x14ac:dyDescent="0.3">
      <c r="A157" s="20"/>
      <c r="B157" s="21"/>
      <c r="C157" s="21"/>
      <c r="D157" s="21"/>
      <c r="E157" s="21"/>
    </row>
    <row r="158" spans="1:5" s="24" customFormat="1" x14ac:dyDescent="0.3">
      <c r="A158" s="20"/>
      <c r="B158" s="21"/>
      <c r="C158" s="21"/>
      <c r="D158" s="21"/>
      <c r="E158" s="21"/>
    </row>
    <row r="159" spans="1:5" s="24" customFormat="1" x14ac:dyDescent="0.3">
      <c r="A159" s="20"/>
      <c r="B159" s="21"/>
      <c r="C159" s="21"/>
      <c r="D159" s="21"/>
      <c r="E159" s="21"/>
    </row>
    <row r="160" spans="1:5" s="24" customFormat="1" x14ac:dyDescent="0.3">
      <c r="A160" s="20"/>
      <c r="B160" s="21"/>
      <c r="C160" s="21"/>
      <c r="D160" s="21"/>
      <c r="E160" s="21"/>
    </row>
    <row r="161" spans="1:5" s="24" customFormat="1" x14ac:dyDescent="0.3">
      <c r="A161" s="20"/>
      <c r="B161" s="21"/>
      <c r="C161" s="21"/>
      <c r="D161" s="21"/>
      <c r="E161" s="21"/>
    </row>
    <row r="162" spans="1:5" s="24" customFormat="1" x14ac:dyDescent="0.3">
      <c r="A162" s="20"/>
      <c r="B162" s="21"/>
      <c r="C162" s="21"/>
      <c r="D162" s="21"/>
      <c r="E162" s="21"/>
    </row>
    <row r="163" spans="1:5" s="24" customFormat="1" x14ac:dyDescent="0.3">
      <c r="A163" s="20"/>
      <c r="B163" s="21"/>
      <c r="C163" s="21"/>
      <c r="D163" s="21"/>
      <c r="E163" s="21"/>
    </row>
    <row r="164" spans="1:5" s="24" customFormat="1" x14ac:dyDescent="0.3">
      <c r="A164" s="20"/>
      <c r="B164" s="21"/>
      <c r="C164" s="21"/>
      <c r="D164" s="21"/>
      <c r="E164" s="21"/>
    </row>
    <row r="165" spans="1:5" s="24" customFormat="1" x14ac:dyDescent="0.3">
      <c r="A165" s="20"/>
      <c r="B165" s="21"/>
      <c r="C165" s="21"/>
      <c r="D165" s="21"/>
      <c r="E165" s="21"/>
    </row>
    <row r="166" spans="1:5" s="24" customFormat="1" x14ac:dyDescent="0.3">
      <c r="A166" s="20"/>
      <c r="B166" s="21"/>
      <c r="C166" s="21"/>
      <c r="D166" s="21"/>
      <c r="E166" s="21"/>
    </row>
    <row r="167" spans="1:5" s="24" customFormat="1" x14ac:dyDescent="0.3">
      <c r="A167" s="20"/>
      <c r="B167" s="21"/>
      <c r="C167" s="21"/>
      <c r="D167" s="21"/>
      <c r="E167" s="21"/>
    </row>
    <row r="168" spans="1:5" s="24" customFormat="1" x14ac:dyDescent="0.3">
      <c r="A168" s="20"/>
      <c r="B168" s="21"/>
      <c r="C168" s="21"/>
      <c r="D168" s="21"/>
      <c r="E168" s="21"/>
    </row>
    <row r="169" spans="1:5" s="24" customFormat="1" x14ac:dyDescent="0.3">
      <c r="A169" s="20"/>
      <c r="B169" s="21"/>
      <c r="C169" s="21"/>
      <c r="D169" s="21"/>
      <c r="E169" s="21"/>
    </row>
    <row r="170" spans="1:5" s="24" customFormat="1" x14ac:dyDescent="0.3">
      <c r="A170" s="20"/>
      <c r="B170" s="21"/>
      <c r="C170" s="21"/>
      <c r="D170" s="21"/>
      <c r="E170" s="21"/>
    </row>
    <row r="171" spans="1:5" s="24" customFormat="1" x14ac:dyDescent="0.3">
      <c r="A171" s="20"/>
      <c r="B171" s="21"/>
      <c r="C171" s="21"/>
      <c r="D171" s="21"/>
      <c r="E171" s="21"/>
    </row>
    <row r="172" spans="1:5" s="24" customFormat="1" x14ac:dyDescent="0.3">
      <c r="A172" s="20"/>
      <c r="B172" s="21"/>
      <c r="C172" s="21"/>
      <c r="D172" s="21"/>
      <c r="E172" s="21"/>
    </row>
    <row r="173" spans="1:5" s="24" customFormat="1" x14ac:dyDescent="0.3">
      <c r="A173" s="20"/>
      <c r="B173" s="21"/>
      <c r="C173" s="21"/>
      <c r="D173" s="21"/>
      <c r="E173" s="21"/>
    </row>
    <row r="174" spans="1:5" s="24" customFormat="1" x14ac:dyDescent="0.3">
      <c r="A174" s="21"/>
      <c r="B174" s="21"/>
      <c r="C174" s="21"/>
      <c r="D174" s="21"/>
      <c r="E174" s="21"/>
    </row>
    <row r="175" spans="1:5" s="24" customFormat="1" x14ac:dyDescent="0.3">
      <c r="A175" s="21"/>
      <c r="B175" s="21"/>
      <c r="C175" s="21"/>
      <c r="D175" s="21"/>
      <c r="E175" s="21"/>
    </row>
    <row r="176" spans="1:5" s="24" customFormat="1" x14ac:dyDescent="0.3">
      <c r="A176" s="21"/>
      <c r="B176" s="21"/>
      <c r="C176" s="21"/>
      <c r="D176" s="21"/>
      <c r="E176" s="21"/>
    </row>
    <row r="177" spans="1:5" s="24" customFormat="1" x14ac:dyDescent="0.3">
      <c r="A177" s="21"/>
      <c r="B177" s="21"/>
      <c r="C177" s="21"/>
      <c r="D177" s="21"/>
      <c r="E177" s="21"/>
    </row>
    <row r="178" spans="1:5" s="24" customFormat="1" x14ac:dyDescent="0.3">
      <c r="A178" s="21"/>
      <c r="B178" s="21"/>
      <c r="C178" s="21"/>
      <c r="D178" s="21"/>
      <c r="E178" s="21"/>
    </row>
    <row r="179" spans="1:5" s="24" customFormat="1" x14ac:dyDescent="0.3">
      <c r="A179" s="21"/>
      <c r="B179" s="21"/>
      <c r="C179" s="21"/>
      <c r="D179" s="21"/>
      <c r="E179" s="21"/>
    </row>
    <row r="180" spans="1:5" s="24" customFormat="1" x14ac:dyDescent="0.3">
      <c r="A180" s="21"/>
      <c r="B180" s="21"/>
      <c r="C180" s="21"/>
      <c r="D180" s="21"/>
      <c r="E180" s="21"/>
    </row>
    <row r="181" spans="1:5" s="24" customFormat="1" x14ac:dyDescent="0.3">
      <c r="A181" s="21"/>
      <c r="B181" s="21"/>
      <c r="C181" s="21"/>
      <c r="D181" s="21"/>
      <c r="E181" s="21"/>
    </row>
    <row r="182" spans="1:5" s="24" customFormat="1" x14ac:dyDescent="0.3">
      <c r="A182" s="21"/>
      <c r="B182" s="21"/>
      <c r="C182" s="21"/>
      <c r="D182" s="21"/>
      <c r="E182" s="21"/>
    </row>
    <row r="183" spans="1:5" s="24" customFormat="1" x14ac:dyDescent="0.3">
      <c r="A183" s="21"/>
      <c r="B183" s="21"/>
      <c r="C183" s="21"/>
      <c r="D183" s="21"/>
      <c r="E183" s="21"/>
    </row>
    <row r="184" spans="1:5" s="24" customFormat="1" x14ac:dyDescent="0.3">
      <c r="A184" s="21"/>
      <c r="B184" s="21"/>
      <c r="C184" s="21"/>
      <c r="D184" s="21"/>
      <c r="E184" s="21"/>
    </row>
    <row r="185" spans="1:5" s="24" customFormat="1" x14ac:dyDescent="0.3">
      <c r="A185" s="21"/>
      <c r="B185" s="21"/>
      <c r="C185" s="21"/>
      <c r="D185" s="21"/>
      <c r="E185" s="21"/>
    </row>
    <row r="186" spans="1:5" s="24" customFormat="1" x14ac:dyDescent="0.3">
      <c r="A186" s="21"/>
      <c r="B186" s="21"/>
      <c r="C186" s="21"/>
      <c r="D186" s="21"/>
      <c r="E186" s="21"/>
    </row>
    <row r="187" spans="1:5" s="24" customFormat="1" x14ac:dyDescent="0.3">
      <c r="A187" s="21"/>
      <c r="B187" s="21"/>
      <c r="C187" s="21"/>
      <c r="D187" s="21"/>
      <c r="E187" s="21"/>
    </row>
    <row r="188" spans="1:5" s="24" customFormat="1" x14ac:dyDescent="0.3">
      <c r="A188" s="21"/>
      <c r="B188" s="21"/>
      <c r="C188" s="21"/>
      <c r="D188" s="21"/>
      <c r="E188" s="21"/>
    </row>
    <row r="189" spans="1:5" s="24" customFormat="1" x14ac:dyDescent="0.3">
      <c r="A189" s="21"/>
      <c r="B189" s="21"/>
      <c r="C189" s="21"/>
      <c r="D189" s="21"/>
      <c r="E189" s="21"/>
    </row>
    <row r="190" spans="1:5" s="24" customFormat="1" x14ac:dyDescent="0.3">
      <c r="A190" s="21"/>
      <c r="B190" s="21"/>
      <c r="C190" s="21"/>
      <c r="D190" s="21"/>
      <c r="E190" s="21"/>
    </row>
    <row r="191" spans="1:5" s="24" customFormat="1" x14ac:dyDescent="0.3">
      <c r="A191" s="21"/>
      <c r="B191" s="21"/>
      <c r="C191" s="21"/>
      <c r="D191" s="21"/>
      <c r="E191" s="21"/>
    </row>
    <row r="192" spans="1:5" s="24" customFormat="1" x14ac:dyDescent="0.3">
      <c r="A192" s="21"/>
      <c r="B192" s="21"/>
      <c r="C192" s="21"/>
      <c r="D192" s="21"/>
      <c r="E192" s="21"/>
    </row>
    <row r="193" spans="1:5" s="24" customFormat="1" x14ac:dyDescent="0.3">
      <c r="A193" s="21"/>
      <c r="B193" s="21"/>
      <c r="C193" s="21"/>
      <c r="D193" s="21"/>
      <c r="E193" s="21"/>
    </row>
    <row r="194" spans="1:5" s="24" customFormat="1" x14ac:dyDescent="0.3">
      <c r="A194" s="21"/>
      <c r="B194" s="21"/>
      <c r="C194" s="21"/>
      <c r="D194" s="21"/>
      <c r="E194" s="21"/>
    </row>
    <row r="195" spans="1:5" s="24" customFormat="1" x14ac:dyDescent="0.3">
      <c r="A195" s="21"/>
      <c r="B195" s="21"/>
      <c r="C195" s="21"/>
      <c r="D195" s="21"/>
      <c r="E195" s="21"/>
    </row>
    <row r="196" spans="1:5" s="24" customFormat="1" x14ac:dyDescent="0.3">
      <c r="A196" s="21"/>
      <c r="B196" s="21"/>
      <c r="C196" s="21"/>
      <c r="D196" s="21"/>
      <c r="E196" s="21"/>
    </row>
    <row r="197" spans="1:5" s="24" customFormat="1" x14ac:dyDescent="0.3">
      <c r="A197" s="21"/>
      <c r="B197" s="21"/>
      <c r="C197" s="21"/>
      <c r="D197" s="21"/>
      <c r="E197" s="21"/>
    </row>
    <row r="198" spans="1:5" s="24" customFormat="1" x14ac:dyDescent="0.3">
      <c r="A198" s="21"/>
      <c r="B198" s="21"/>
      <c r="C198" s="21"/>
      <c r="D198" s="21"/>
      <c r="E198" s="21"/>
    </row>
    <row r="199" spans="1:5" s="24" customFormat="1" x14ac:dyDescent="0.3">
      <c r="A199" s="21"/>
      <c r="B199" s="21"/>
      <c r="C199" s="21"/>
      <c r="D199" s="21"/>
      <c r="E199" s="21"/>
    </row>
    <row r="200" spans="1:5" s="24" customFormat="1" x14ac:dyDescent="0.3">
      <c r="A200" s="21"/>
      <c r="B200" s="21"/>
      <c r="C200" s="21"/>
      <c r="D200" s="21"/>
      <c r="E200" s="21"/>
    </row>
    <row r="201" spans="1:5" s="24" customFormat="1" x14ac:dyDescent="0.3">
      <c r="A201" s="21"/>
      <c r="B201" s="21"/>
      <c r="C201" s="21"/>
      <c r="D201" s="21"/>
      <c r="E201" s="21"/>
    </row>
    <row r="202" spans="1:5" s="24" customFormat="1" x14ac:dyDescent="0.3">
      <c r="A202" s="21"/>
      <c r="B202" s="21"/>
      <c r="C202" s="21"/>
      <c r="D202" s="21"/>
      <c r="E202" s="21"/>
    </row>
    <row r="203" spans="1:5" s="24" customFormat="1" x14ac:dyDescent="0.3">
      <c r="A203" s="21"/>
      <c r="B203" s="21"/>
      <c r="C203" s="21"/>
      <c r="D203" s="21"/>
      <c r="E203" s="21"/>
    </row>
    <row r="204" spans="1:5" s="24" customFormat="1" x14ac:dyDescent="0.3">
      <c r="A204" s="21"/>
      <c r="B204" s="21"/>
      <c r="C204" s="21"/>
      <c r="D204" s="21"/>
      <c r="E204" s="21"/>
    </row>
    <row r="205" spans="1:5" s="24" customFormat="1" x14ac:dyDescent="0.3">
      <c r="A205" s="21"/>
      <c r="B205" s="21"/>
      <c r="C205" s="21"/>
      <c r="D205" s="21"/>
      <c r="E205" s="21"/>
    </row>
    <row r="206" spans="1:5" s="24" customFormat="1" x14ac:dyDescent="0.3">
      <c r="A206" s="21"/>
      <c r="B206" s="21"/>
      <c r="C206" s="21"/>
      <c r="D206" s="21"/>
      <c r="E206" s="21"/>
    </row>
    <row r="207" spans="1:5" s="24" customFormat="1" x14ac:dyDescent="0.3">
      <c r="A207" s="21"/>
      <c r="B207" s="21"/>
      <c r="C207" s="21"/>
      <c r="D207" s="21"/>
      <c r="E207" s="21"/>
    </row>
    <row r="208" spans="1:5" s="24" customFormat="1" x14ac:dyDescent="0.3">
      <c r="A208" s="21"/>
      <c r="B208" s="21"/>
      <c r="C208" s="21"/>
      <c r="D208" s="21"/>
      <c r="E208" s="21"/>
    </row>
    <row r="209" spans="1:5" s="24" customFormat="1" x14ac:dyDescent="0.3">
      <c r="A209" s="21"/>
      <c r="B209" s="21"/>
      <c r="C209" s="21"/>
      <c r="D209" s="21"/>
      <c r="E209" s="21"/>
    </row>
    <row r="210" spans="1:5" s="24" customFormat="1" x14ac:dyDescent="0.3">
      <c r="A210" s="21"/>
      <c r="B210" s="21"/>
      <c r="C210" s="21"/>
      <c r="D210" s="21"/>
      <c r="E210" s="21"/>
    </row>
    <row r="211" spans="1:5" s="24" customFormat="1" x14ac:dyDescent="0.3">
      <c r="A211" s="21"/>
      <c r="B211" s="21"/>
      <c r="C211" s="21"/>
      <c r="D211" s="21"/>
      <c r="E211" s="21"/>
    </row>
    <row r="212" spans="1:5" s="24" customFormat="1" x14ac:dyDescent="0.3">
      <c r="A212" s="21"/>
      <c r="B212" s="21"/>
      <c r="C212" s="21"/>
      <c r="D212" s="21"/>
      <c r="E212" s="21"/>
    </row>
    <row r="213" spans="1:5" s="24" customFormat="1" x14ac:dyDescent="0.3">
      <c r="A213" s="21"/>
      <c r="B213" s="21"/>
      <c r="C213" s="21"/>
      <c r="D213" s="21"/>
      <c r="E213" s="21"/>
    </row>
    <row r="214" spans="1:5" s="24" customFormat="1" x14ac:dyDescent="0.3">
      <c r="A214" s="21"/>
      <c r="B214" s="21"/>
      <c r="C214" s="21"/>
      <c r="D214" s="21"/>
      <c r="E214" s="21"/>
    </row>
    <row r="215" spans="1:5" s="24" customFormat="1" x14ac:dyDescent="0.3">
      <c r="A215" s="21"/>
      <c r="B215" s="21"/>
      <c r="C215" s="21"/>
      <c r="D215" s="21"/>
      <c r="E215" s="21"/>
    </row>
    <row r="216" spans="1:5" s="24" customFormat="1" x14ac:dyDescent="0.3">
      <c r="A216" s="21"/>
      <c r="B216" s="21"/>
      <c r="C216" s="21"/>
      <c r="D216" s="21"/>
      <c r="E216" s="21"/>
    </row>
    <row r="217" spans="1:5" s="24" customFormat="1" x14ac:dyDescent="0.3">
      <c r="A217" s="21"/>
      <c r="B217" s="21"/>
      <c r="C217" s="21"/>
      <c r="D217" s="21"/>
      <c r="E217" s="21"/>
    </row>
    <row r="218" spans="1:5" s="24" customFormat="1" x14ac:dyDescent="0.3">
      <c r="A218" s="21"/>
      <c r="B218" s="21"/>
      <c r="C218" s="21"/>
      <c r="D218" s="21"/>
      <c r="E218" s="21"/>
    </row>
    <row r="219" spans="1:5" s="24" customFormat="1" x14ac:dyDescent="0.3">
      <c r="A219" s="21"/>
      <c r="B219" s="21"/>
      <c r="C219" s="21"/>
      <c r="D219" s="21"/>
      <c r="E219" s="21"/>
    </row>
    <row r="220" spans="1:5" s="24" customFormat="1" x14ac:dyDescent="0.3">
      <c r="A220" s="21"/>
      <c r="B220" s="21"/>
      <c r="C220" s="21"/>
      <c r="D220" s="21"/>
      <c r="E220" s="21"/>
    </row>
    <row r="221" spans="1:5" s="24" customFormat="1" x14ac:dyDescent="0.3">
      <c r="A221" s="21"/>
      <c r="B221" s="21"/>
      <c r="C221" s="21"/>
      <c r="D221" s="21"/>
      <c r="E221" s="21"/>
    </row>
    <row r="222" spans="1:5" s="24" customFormat="1" x14ac:dyDescent="0.3">
      <c r="A222" s="21"/>
      <c r="B222" s="21"/>
      <c r="C222" s="21"/>
      <c r="D222" s="21"/>
      <c r="E222" s="21"/>
    </row>
    <row r="223" spans="1:5" s="24" customFormat="1" x14ac:dyDescent="0.3">
      <c r="A223" s="21"/>
      <c r="B223" s="21"/>
      <c r="C223" s="21"/>
      <c r="D223" s="21"/>
      <c r="E223" s="21"/>
    </row>
    <row r="224" spans="1:5" s="24" customFormat="1" x14ac:dyDescent="0.3">
      <c r="A224" s="21"/>
      <c r="B224" s="21"/>
      <c r="C224" s="21"/>
      <c r="D224" s="21"/>
      <c r="E224" s="21"/>
    </row>
    <row r="225" spans="1:5" s="24" customFormat="1" x14ac:dyDescent="0.3">
      <c r="A225" s="21"/>
      <c r="B225" s="21"/>
      <c r="C225" s="21"/>
      <c r="D225" s="21"/>
      <c r="E225" s="21"/>
    </row>
    <row r="226" spans="1:5" s="24" customFormat="1" x14ac:dyDescent="0.3">
      <c r="A226" s="21"/>
      <c r="B226" s="21"/>
      <c r="C226" s="21"/>
      <c r="D226" s="21"/>
      <c r="E226" s="21"/>
    </row>
    <row r="227" spans="1:5" s="24" customFormat="1" x14ac:dyDescent="0.3">
      <c r="A227" s="21"/>
      <c r="B227" s="21"/>
      <c r="C227" s="21"/>
      <c r="D227" s="21"/>
      <c r="E227" s="21"/>
    </row>
    <row r="228" spans="1:5" s="24" customFormat="1" x14ac:dyDescent="0.3">
      <c r="A228" s="21"/>
      <c r="B228" s="21"/>
      <c r="C228" s="21"/>
      <c r="D228" s="21"/>
      <c r="E228" s="21"/>
    </row>
    <row r="229" spans="1:5" s="24" customFormat="1" x14ac:dyDescent="0.3">
      <c r="A229" s="21"/>
      <c r="B229" s="21"/>
      <c r="C229" s="21"/>
      <c r="D229" s="21"/>
      <c r="E229" s="21"/>
    </row>
    <row r="230" spans="1:5" s="24" customFormat="1" x14ac:dyDescent="0.3">
      <c r="A230" s="21"/>
      <c r="B230" s="21"/>
      <c r="C230" s="21"/>
      <c r="D230" s="21"/>
      <c r="E230" s="21"/>
    </row>
    <row r="231" spans="1:5" s="24" customFormat="1" x14ac:dyDescent="0.3">
      <c r="A231" s="21"/>
      <c r="B231" s="21"/>
      <c r="C231" s="21"/>
      <c r="D231" s="21"/>
      <c r="E231" s="21"/>
    </row>
    <row r="232" spans="1:5" s="24" customFormat="1" x14ac:dyDescent="0.3">
      <c r="A232" s="21"/>
      <c r="B232" s="21"/>
      <c r="C232" s="21"/>
      <c r="D232" s="21"/>
      <c r="E232" s="21"/>
    </row>
    <row r="233" spans="1:5" s="24" customFormat="1" x14ac:dyDescent="0.3">
      <c r="A233" s="21"/>
      <c r="B233" s="21"/>
      <c r="C233" s="21"/>
      <c r="D233" s="21"/>
      <c r="E233" s="21"/>
    </row>
    <row r="234" spans="1:5" s="24" customFormat="1" x14ac:dyDescent="0.3">
      <c r="A234" s="21"/>
      <c r="B234" s="21"/>
      <c r="C234" s="21"/>
      <c r="D234" s="21"/>
      <c r="E234" s="21"/>
    </row>
    <row r="235" spans="1:5" s="24" customFormat="1" x14ac:dyDescent="0.3">
      <c r="A235" s="21"/>
      <c r="B235" s="21"/>
      <c r="C235" s="21"/>
      <c r="D235" s="21"/>
      <c r="E235" s="21"/>
    </row>
    <row r="236" spans="1:5" s="24" customFormat="1" x14ac:dyDescent="0.3">
      <c r="A236" s="21"/>
      <c r="B236" s="21"/>
      <c r="C236" s="21"/>
      <c r="D236" s="21"/>
      <c r="E236" s="21"/>
    </row>
    <row r="237" spans="1:5" s="24" customFormat="1" x14ac:dyDescent="0.3">
      <c r="A237" s="21"/>
      <c r="B237" s="21"/>
      <c r="C237" s="21"/>
      <c r="D237" s="21"/>
      <c r="E237" s="21"/>
    </row>
    <row r="238" spans="1:5" s="24" customFormat="1" x14ac:dyDescent="0.3">
      <c r="A238" s="21"/>
      <c r="B238" s="21"/>
      <c r="C238" s="21"/>
      <c r="D238" s="21"/>
      <c r="E238" s="21"/>
    </row>
    <row r="239" spans="1:5" s="24" customFormat="1" x14ac:dyDescent="0.3">
      <c r="A239" s="21"/>
      <c r="B239" s="21"/>
      <c r="C239" s="21"/>
      <c r="D239" s="21"/>
      <c r="E239" s="21"/>
    </row>
    <row r="240" spans="1:5" s="24" customFormat="1" x14ac:dyDescent="0.3">
      <c r="A240" s="21"/>
      <c r="B240" s="21"/>
      <c r="C240" s="21"/>
      <c r="D240" s="21"/>
      <c r="E240" s="21"/>
    </row>
    <row r="241" spans="1:5" s="24" customFormat="1" x14ac:dyDescent="0.3">
      <c r="A241" s="21"/>
      <c r="B241" s="21"/>
      <c r="C241" s="21"/>
      <c r="D241" s="21"/>
      <c r="E241" s="21"/>
    </row>
    <row r="242" spans="1:5" s="24" customFormat="1" x14ac:dyDescent="0.3">
      <c r="A242" s="21"/>
      <c r="B242" s="21"/>
      <c r="C242" s="21"/>
      <c r="D242" s="21"/>
      <c r="E242" s="21"/>
    </row>
    <row r="243" spans="1:5" s="24" customFormat="1" x14ac:dyDescent="0.3">
      <c r="A243" s="21"/>
      <c r="B243" s="21"/>
      <c r="C243" s="21"/>
      <c r="D243" s="21"/>
      <c r="E243" s="21"/>
    </row>
    <row r="244" spans="1:5" s="24" customFormat="1" x14ac:dyDescent="0.3">
      <c r="A244" s="21"/>
      <c r="B244" s="21"/>
      <c r="C244" s="21"/>
      <c r="D244" s="21"/>
      <c r="E244" s="21"/>
    </row>
    <row r="245" spans="1:5" s="24" customFormat="1" x14ac:dyDescent="0.3">
      <c r="A245" s="21"/>
      <c r="B245" s="21"/>
      <c r="C245" s="21"/>
      <c r="D245" s="21"/>
      <c r="E245" s="21"/>
    </row>
    <row r="246" spans="1:5" s="24" customFormat="1" x14ac:dyDescent="0.3">
      <c r="A246" s="21"/>
      <c r="B246" s="21"/>
      <c r="C246" s="21"/>
      <c r="D246" s="21"/>
      <c r="E246" s="21"/>
    </row>
    <row r="247" spans="1:5" s="24" customFormat="1" x14ac:dyDescent="0.3">
      <c r="A247" s="21"/>
      <c r="B247" s="21"/>
      <c r="C247" s="21"/>
      <c r="D247" s="21"/>
      <c r="E247" s="21"/>
    </row>
    <row r="248" spans="1:5" s="24" customFormat="1" x14ac:dyDescent="0.3">
      <c r="A248" s="21"/>
      <c r="B248" s="21"/>
      <c r="C248" s="21"/>
      <c r="D248" s="21"/>
      <c r="E248" s="21"/>
    </row>
    <row r="249" spans="1:5" s="24" customFormat="1" x14ac:dyDescent="0.3">
      <c r="A249" s="21"/>
      <c r="B249" s="21"/>
      <c r="C249" s="21"/>
      <c r="D249" s="21"/>
      <c r="E249" s="21"/>
    </row>
    <row r="250" spans="1:5" s="24" customFormat="1" x14ac:dyDescent="0.3">
      <c r="A250" s="21"/>
      <c r="B250" s="21"/>
      <c r="C250" s="21"/>
      <c r="D250" s="21"/>
      <c r="E250" s="21"/>
    </row>
    <row r="251" spans="1:5" s="24" customFormat="1" x14ac:dyDescent="0.3">
      <c r="A251" s="21"/>
      <c r="B251" s="21"/>
      <c r="C251" s="21"/>
      <c r="D251" s="21"/>
      <c r="E251" s="21"/>
    </row>
    <row r="252" spans="1:5" s="24" customFormat="1" x14ac:dyDescent="0.3">
      <c r="A252" s="21"/>
      <c r="B252" s="21"/>
      <c r="C252" s="21"/>
      <c r="D252" s="21"/>
      <c r="E252" s="21"/>
    </row>
    <row r="253" spans="1:5" s="24" customFormat="1" x14ac:dyDescent="0.3">
      <c r="A253" s="21"/>
      <c r="B253" s="21"/>
      <c r="C253" s="21"/>
      <c r="D253" s="21"/>
      <c r="E253" s="21"/>
    </row>
    <row r="254" spans="1:5" s="24" customFormat="1" x14ac:dyDescent="0.3">
      <c r="A254" s="21"/>
      <c r="B254" s="21"/>
      <c r="C254" s="21"/>
      <c r="D254" s="21"/>
      <c r="E254" s="21"/>
    </row>
    <row r="255" spans="1:5" s="24" customFormat="1" x14ac:dyDescent="0.3">
      <c r="A255" s="21"/>
      <c r="B255" s="21"/>
      <c r="C255" s="21"/>
      <c r="D255" s="21"/>
      <c r="E255" s="21"/>
    </row>
    <row r="256" spans="1:5" s="24" customFormat="1" x14ac:dyDescent="0.3">
      <c r="A256" s="21"/>
      <c r="B256" s="21"/>
      <c r="C256" s="21"/>
      <c r="D256" s="21"/>
      <c r="E256" s="21"/>
    </row>
    <row r="257" spans="1:5" s="24" customFormat="1" x14ac:dyDescent="0.3">
      <c r="A257" s="21"/>
      <c r="B257" s="21"/>
      <c r="C257" s="21"/>
      <c r="D257" s="21"/>
      <c r="E257" s="21"/>
    </row>
    <row r="258" spans="1:5" s="24" customFormat="1" x14ac:dyDescent="0.3">
      <c r="A258" s="21"/>
      <c r="B258" s="21"/>
      <c r="C258" s="21"/>
      <c r="D258" s="21"/>
      <c r="E258" s="21"/>
    </row>
    <row r="259" spans="1:5" s="24" customFormat="1" x14ac:dyDescent="0.3">
      <c r="A259" s="21"/>
      <c r="B259" s="21"/>
      <c r="C259" s="21"/>
      <c r="D259" s="21"/>
      <c r="E259" s="21"/>
    </row>
    <row r="260" spans="1:5" s="24" customFormat="1" x14ac:dyDescent="0.3">
      <c r="A260" s="21"/>
      <c r="B260" s="21"/>
      <c r="C260" s="21"/>
      <c r="D260" s="21"/>
      <c r="E260" s="21"/>
    </row>
    <row r="261" spans="1:5" s="24" customFormat="1" x14ac:dyDescent="0.3">
      <c r="A261" s="21"/>
      <c r="B261" s="21"/>
      <c r="C261" s="21"/>
      <c r="D261" s="21"/>
      <c r="E261" s="21"/>
    </row>
    <row r="262" spans="1:5" s="24" customFormat="1" x14ac:dyDescent="0.3">
      <c r="A262" s="21"/>
      <c r="B262" s="21"/>
      <c r="C262" s="21"/>
      <c r="D262" s="21"/>
      <c r="E262" s="21"/>
    </row>
    <row r="263" spans="1:5" s="24" customFormat="1" x14ac:dyDescent="0.3">
      <c r="A263" s="21"/>
      <c r="B263" s="21"/>
      <c r="C263" s="21"/>
      <c r="D263" s="21"/>
      <c r="E263" s="21"/>
    </row>
    <row r="264" spans="1:5" s="24" customFormat="1" x14ac:dyDescent="0.3">
      <c r="A264" s="21"/>
      <c r="B264" s="21"/>
      <c r="C264" s="21"/>
      <c r="D264" s="21"/>
      <c r="E264" s="21"/>
    </row>
    <row r="265" spans="1:5" s="24" customFormat="1" x14ac:dyDescent="0.3">
      <c r="A265" s="21"/>
      <c r="B265" s="21"/>
      <c r="C265" s="21"/>
      <c r="D265" s="21"/>
      <c r="E265" s="21"/>
    </row>
    <row r="266" spans="1:5" s="24" customFormat="1" x14ac:dyDescent="0.3">
      <c r="A266" s="21"/>
      <c r="B266" s="21"/>
      <c r="C266" s="21"/>
      <c r="D266" s="21"/>
      <c r="E266" s="21"/>
    </row>
    <row r="267" spans="1:5" s="24" customFormat="1" x14ac:dyDescent="0.3">
      <c r="A267" s="21"/>
      <c r="B267" s="21"/>
      <c r="C267" s="21"/>
      <c r="D267" s="21"/>
      <c r="E267" s="21"/>
    </row>
    <row r="268" spans="1:5" s="24" customFormat="1" x14ac:dyDescent="0.3">
      <c r="A268" s="21"/>
      <c r="B268" s="21"/>
      <c r="C268" s="21"/>
      <c r="D268" s="21"/>
      <c r="E268" s="21"/>
    </row>
    <row r="269" spans="1:5" s="24" customFormat="1" x14ac:dyDescent="0.3">
      <c r="A269" s="21"/>
      <c r="B269" s="21"/>
      <c r="C269" s="21"/>
      <c r="D269" s="21"/>
      <c r="E269" s="21"/>
    </row>
    <row r="270" spans="1:5" s="24" customFormat="1" x14ac:dyDescent="0.3">
      <c r="A270" s="21"/>
      <c r="B270" s="21"/>
      <c r="C270" s="21"/>
      <c r="D270" s="21"/>
      <c r="E270" s="21"/>
    </row>
    <row r="271" spans="1:5" s="24" customFormat="1" x14ac:dyDescent="0.3">
      <c r="A271" s="21"/>
      <c r="B271" s="21"/>
      <c r="C271" s="21"/>
      <c r="D271" s="21"/>
      <c r="E271" s="21"/>
    </row>
    <row r="272" spans="1:5" s="24" customFormat="1" x14ac:dyDescent="0.3">
      <c r="A272" s="21"/>
      <c r="B272" s="21"/>
      <c r="C272" s="21"/>
      <c r="D272" s="21"/>
      <c r="E272" s="21"/>
    </row>
    <row r="273" spans="1:5" s="24" customFormat="1" x14ac:dyDescent="0.3">
      <c r="A273" s="21"/>
      <c r="B273" s="21"/>
      <c r="C273" s="21"/>
      <c r="D273" s="21"/>
      <c r="E273" s="21"/>
    </row>
    <row r="274" spans="1:5" s="24" customFormat="1" x14ac:dyDescent="0.3">
      <c r="A274" s="21"/>
      <c r="B274" s="21"/>
      <c r="C274" s="21"/>
      <c r="D274" s="21"/>
      <c r="E274" s="21"/>
    </row>
    <row r="275" spans="1:5" s="24" customFormat="1" x14ac:dyDescent="0.3">
      <c r="A275" s="21"/>
      <c r="B275" s="21"/>
      <c r="C275" s="21"/>
      <c r="D275" s="21"/>
      <c r="E275" s="21"/>
    </row>
    <row r="276" spans="1:5" s="24" customFormat="1" x14ac:dyDescent="0.3">
      <c r="A276" s="21"/>
      <c r="B276" s="21"/>
      <c r="C276" s="21"/>
      <c r="D276" s="21"/>
      <c r="E276" s="21"/>
    </row>
    <row r="277" spans="1:5" s="24" customFormat="1" x14ac:dyDescent="0.3">
      <c r="A277" s="21"/>
      <c r="B277" s="21"/>
      <c r="C277" s="21"/>
      <c r="D277" s="21"/>
      <c r="E277" s="21"/>
    </row>
    <row r="278" spans="1:5" s="24" customFormat="1" x14ac:dyDescent="0.3">
      <c r="A278" s="21"/>
      <c r="B278" s="21"/>
      <c r="C278" s="21"/>
      <c r="D278" s="21"/>
      <c r="E278" s="21"/>
    </row>
    <row r="279" spans="1:5" s="24" customFormat="1" x14ac:dyDescent="0.3">
      <c r="A279" s="21"/>
      <c r="B279" s="21"/>
      <c r="C279" s="21"/>
      <c r="D279" s="21"/>
      <c r="E279" s="21"/>
    </row>
    <row r="280" spans="1:5" s="24" customFormat="1" x14ac:dyDescent="0.3">
      <c r="A280" s="21"/>
      <c r="B280" s="21"/>
      <c r="C280" s="21"/>
      <c r="D280" s="21"/>
      <c r="E280" s="21"/>
    </row>
    <row r="281" spans="1:5" s="24" customFormat="1" x14ac:dyDescent="0.3">
      <c r="A281" s="21"/>
      <c r="B281" s="21"/>
      <c r="C281" s="21"/>
      <c r="D281" s="21"/>
      <c r="E281" s="21"/>
    </row>
    <row r="282" spans="1:5" s="24" customFormat="1" x14ac:dyDescent="0.3">
      <c r="A282" s="21"/>
      <c r="B282" s="21"/>
      <c r="C282" s="21"/>
      <c r="D282" s="21"/>
      <c r="E282" s="21"/>
    </row>
    <row r="283" spans="1:5" s="24" customFormat="1" x14ac:dyDescent="0.3">
      <c r="A283" s="21"/>
      <c r="B283" s="21"/>
      <c r="C283" s="21"/>
      <c r="D283" s="21"/>
      <c r="E283" s="21"/>
    </row>
    <row r="284" spans="1:5" s="24" customFormat="1" x14ac:dyDescent="0.3">
      <c r="A284" s="21"/>
      <c r="B284" s="21"/>
      <c r="C284" s="21"/>
      <c r="D284" s="21"/>
      <c r="E284" s="21"/>
    </row>
    <row r="285" spans="1:5" s="24" customFormat="1" x14ac:dyDescent="0.3">
      <c r="A285" s="21"/>
      <c r="B285" s="21"/>
      <c r="C285" s="21"/>
      <c r="D285" s="21"/>
      <c r="E285" s="21"/>
    </row>
    <row r="286" spans="1:5" s="24" customFormat="1" x14ac:dyDescent="0.3">
      <c r="A286" s="21"/>
      <c r="B286" s="21"/>
      <c r="C286" s="21"/>
      <c r="D286" s="21"/>
      <c r="E286" s="21"/>
    </row>
    <row r="287" spans="1:5" s="24" customFormat="1" x14ac:dyDescent="0.3">
      <c r="A287" s="21"/>
      <c r="B287" s="21"/>
      <c r="C287" s="21"/>
      <c r="D287" s="21"/>
      <c r="E287" s="21"/>
    </row>
    <row r="288" spans="1:5" s="24" customFormat="1" x14ac:dyDescent="0.3">
      <c r="A288" s="21"/>
      <c r="B288" s="21"/>
      <c r="C288" s="21"/>
      <c r="D288" s="21"/>
      <c r="E288" s="21"/>
    </row>
    <row r="289" spans="1:5" s="24" customFormat="1" x14ac:dyDescent="0.3">
      <c r="A289" s="21"/>
      <c r="B289" s="21"/>
      <c r="C289" s="21"/>
      <c r="D289" s="21"/>
      <c r="E289" s="21"/>
    </row>
    <row r="290" spans="1:5" s="24" customFormat="1" x14ac:dyDescent="0.3">
      <c r="A290" s="21"/>
      <c r="B290" s="21"/>
      <c r="C290" s="21"/>
      <c r="D290" s="21"/>
      <c r="E290" s="21"/>
    </row>
    <row r="291" spans="1:5" s="24" customFormat="1" x14ac:dyDescent="0.3">
      <c r="A291" s="21"/>
      <c r="B291" s="21"/>
      <c r="C291" s="21"/>
      <c r="D291" s="21"/>
      <c r="E291" s="21"/>
    </row>
    <row r="292" spans="1:5" s="24" customFormat="1" x14ac:dyDescent="0.3">
      <c r="A292" s="21"/>
      <c r="B292" s="21"/>
      <c r="C292" s="21"/>
      <c r="D292" s="21"/>
      <c r="E292" s="21"/>
    </row>
    <row r="293" spans="1:5" s="24" customFormat="1" x14ac:dyDescent="0.3">
      <c r="A293" s="21"/>
      <c r="B293" s="21"/>
      <c r="C293" s="21"/>
      <c r="D293" s="21"/>
      <c r="E293" s="21"/>
    </row>
    <row r="294" spans="1:5" s="24" customFormat="1" x14ac:dyDescent="0.3">
      <c r="A294" s="21"/>
      <c r="B294" s="21"/>
      <c r="C294" s="21"/>
      <c r="D294" s="21"/>
      <c r="E294" s="21"/>
    </row>
    <row r="295" spans="1:5" s="24" customFormat="1" x14ac:dyDescent="0.3">
      <c r="A295" s="21"/>
      <c r="B295" s="21"/>
      <c r="C295" s="21"/>
      <c r="D295" s="21"/>
      <c r="E295" s="21"/>
    </row>
    <row r="296" spans="1:5" s="24" customFormat="1" x14ac:dyDescent="0.3">
      <c r="A296" s="21"/>
      <c r="B296" s="21"/>
      <c r="C296" s="21"/>
      <c r="D296" s="21"/>
      <c r="E296" s="21"/>
    </row>
    <row r="297" spans="1:5" s="24" customFormat="1" x14ac:dyDescent="0.3">
      <c r="A297" s="21"/>
      <c r="B297" s="21"/>
      <c r="C297" s="21"/>
      <c r="D297" s="21"/>
      <c r="E297" s="21"/>
    </row>
    <row r="298" spans="1:5" s="24" customFormat="1" x14ac:dyDescent="0.3">
      <c r="A298" s="21"/>
      <c r="B298" s="21"/>
      <c r="C298" s="21"/>
      <c r="D298" s="21"/>
      <c r="E298" s="21"/>
    </row>
    <row r="299" spans="1:5" s="24" customFormat="1" x14ac:dyDescent="0.3">
      <c r="A299" s="21"/>
      <c r="B299" s="21"/>
      <c r="C299" s="21"/>
      <c r="D299" s="21"/>
      <c r="E299" s="21"/>
    </row>
    <row r="300" spans="1:5" s="24" customFormat="1" x14ac:dyDescent="0.3">
      <c r="A300" s="21"/>
      <c r="B300" s="21"/>
      <c r="C300" s="21"/>
      <c r="D300" s="21"/>
      <c r="E300" s="21"/>
    </row>
    <row r="301" spans="1:5" s="24" customFormat="1" x14ac:dyDescent="0.3">
      <c r="A301" s="21"/>
      <c r="B301" s="21"/>
      <c r="C301" s="21"/>
      <c r="D301" s="21"/>
      <c r="E301" s="21"/>
    </row>
    <row r="302" spans="1:5" s="24" customFormat="1" x14ac:dyDescent="0.3">
      <c r="A302" s="21"/>
      <c r="B302" s="21"/>
      <c r="C302" s="21"/>
      <c r="D302" s="21"/>
      <c r="E302" s="21"/>
    </row>
    <row r="303" spans="1:5" s="24" customFormat="1" x14ac:dyDescent="0.3">
      <c r="A303" s="21"/>
      <c r="B303" s="21"/>
      <c r="C303" s="21"/>
      <c r="D303" s="21"/>
      <c r="E303" s="21"/>
    </row>
    <row r="304" spans="1:5" s="24" customFormat="1" x14ac:dyDescent="0.3">
      <c r="A304" s="21"/>
      <c r="B304" s="21"/>
      <c r="C304" s="21"/>
      <c r="D304" s="21"/>
      <c r="E304" s="21"/>
    </row>
    <row r="305" spans="1:5" s="24" customFormat="1" x14ac:dyDescent="0.3">
      <c r="A305" s="21"/>
      <c r="B305" s="21"/>
      <c r="C305" s="21"/>
      <c r="D305" s="21"/>
      <c r="E305" s="21"/>
    </row>
    <row r="306" spans="1:5" s="24" customFormat="1" x14ac:dyDescent="0.3">
      <c r="A306" s="21"/>
      <c r="B306" s="21"/>
      <c r="C306" s="21"/>
      <c r="D306" s="21"/>
      <c r="E306" s="21"/>
    </row>
    <row r="307" spans="1:5" s="24" customFormat="1" x14ac:dyDescent="0.3">
      <c r="A307" s="21"/>
      <c r="B307" s="21"/>
      <c r="C307" s="21"/>
      <c r="D307" s="21"/>
      <c r="E307" s="21"/>
    </row>
    <row r="308" spans="1:5" s="24" customFormat="1" x14ac:dyDescent="0.3">
      <c r="A308" s="21"/>
      <c r="B308" s="21"/>
      <c r="C308" s="21"/>
      <c r="D308" s="21"/>
      <c r="E308" s="21"/>
    </row>
    <row r="309" spans="1:5" s="24" customFormat="1" x14ac:dyDescent="0.3">
      <c r="A309" s="21"/>
      <c r="B309" s="21"/>
      <c r="C309" s="21"/>
      <c r="D309" s="21"/>
      <c r="E309" s="21"/>
    </row>
    <row r="310" spans="1:5" s="24" customFormat="1" x14ac:dyDescent="0.3">
      <c r="A310" s="21"/>
      <c r="B310" s="21"/>
      <c r="C310" s="21"/>
      <c r="D310" s="21"/>
      <c r="E310" s="21"/>
    </row>
    <row r="311" spans="1:5" s="24" customFormat="1" x14ac:dyDescent="0.3">
      <c r="A311" s="21"/>
      <c r="B311" s="21"/>
      <c r="C311" s="21"/>
      <c r="D311" s="21"/>
      <c r="E311" s="21"/>
    </row>
    <row r="312" spans="1:5" s="24" customFormat="1" x14ac:dyDescent="0.3">
      <c r="A312" s="21"/>
      <c r="B312" s="21"/>
      <c r="C312" s="21"/>
      <c r="D312" s="21"/>
      <c r="E312" s="21"/>
    </row>
    <row r="313" spans="1:5" s="24" customFormat="1" x14ac:dyDescent="0.3">
      <c r="A313" s="21"/>
      <c r="B313" s="21"/>
      <c r="C313" s="21"/>
      <c r="D313" s="21"/>
      <c r="E313" s="21"/>
    </row>
    <row r="314" spans="1:5" s="24" customFormat="1" x14ac:dyDescent="0.3">
      <c r="A314" s="21"/>
      <c r="B314" s="21"/>
      <c r="C314" s="21"/>
      <c r="D314" s="21"/>
      <c r="E314" s="21"/>
    </row>
    <row r="315" spans="1:5" s="24" customFormat="1" x14ac:dyDescent="0.3">
      <c r="A315" s="21"/>
      <c r="B315" s="21"/>
      <c r="C315" s="21"/>
      <c r="D315" s="21"/>
      <c r="E315" s="21"/>
    </row>
    <row r="316" spans="1:5" s="24" customFormat="1" x14ac:dyDescent="0.3">
      <c r="A316" s="21"/>
      <c r="B316" s="21"/>
      <c r="C316" s="21"/>
      <c r="D316" s="21"/>
      <c r="E316" s="21"/>
    </row>
    <row r="317" spans="1:5" s="24" customFormat="1" x14ac:dyDescent="0.3">
      <c r="A317" s="21"/>
      <c r="B317" s="21"/>
      <c r="C317" s="21"/>
      <c r="D317" s="21"/>
      <c r="E317" s="21"/>
    </row>
    <row r="318" spans="1:5" s="24" customFormat="1" x14ac:dyDescent="0.3">
      <c r="A318" s="21"/>
      <c r="B318" s="21"/>
      <c r="C318" s="21"/>
      <c r="D318" s="21"/>
      <c r="E318" s="21"/>
    </row>
    <row r="319" spans="1:5" s="24" customFormat="1" x14ac:dyDescent="0.3">
      <c r="A319" s="21"/>
      <c r="B319" s="21"/>
      <c r="C319" s="21"/>
      <c r="D319" s="21"/>
      <c r="E319" s="21"/>
    </row>
    <row r="320" spans="1:5" s="24" customFormat="1" x14ac:dyDescent="0.3">
      <c r="A320" s="21"/>
      <c r="B320" s="21"/>
      <c r="C320" s="21"/>
      <c r="D320" s="21"/>
      <c r="E320" s="21"/>
    </row>
    <row r="321" spans="1:5" s="24" customFormat="1" x14ac:dyDescent="0.3">
      <c r="A321" s="21"/>
      <c r="B321" s="21"/>
      <c r="C321" s="21"/>
      <c r="D321" s="21"/>
      <c r="E321" s="21"/>
    </row>
    <row r="322" spans="1:5" s="24" customFormat="1" x14ac:dyDescent="0.3">
      <c r="A322" s="21"/>
      <c r="B322" s="21"/>
      <c r="C322" s="21"/>
      <c r="D322" s="21"/>
      <c r="E322" s="21"/>
    </row>
    <row r="323" spans="1:5" s="24" customFormat="1" x14ac:dyDescent="0.3">
      <c r="A323" s="21"/>
      <c r="B323" s="21"/>
      <c r="C323" s="21"/>
      <c r="D323" s="21"/>
      <c r="E323" s="21"/>
    </row>
    <row r="324" spans="1:5" s="24" customFormat="1" x14ac:dyDescent="0.3">
      <c r="A324" s="21"/>
      <c r="B324" s="21"/>
      <c r="C324" s="21"/>
      <c r="D324" s="21"/>
      <c r="E324" s="21"/>
    </row>
    <row r="325" spans="1:5" s="24" customFormat="1" x14ac:dyDescent="0.3">
      <c r="A325" s="21"/>
      <c r="B325" s="21"/>
      <c r="C325" s="21"/>
      <c r="D325" s="21"/>
      <c r="E325" s="21"/>
    </row>
    <row r="326" spans="1:5" s="24" customFormat="1" x14ac:dyDescent="0.3">
      <c r="A326" s="21"/>
      <c r="B326" s="21"/>
      <c r="C326" s="21"/>
      <c r="D326" s="21"/>
      <c r="E326" s="21"/>
    </row>
    <row r="327" spans="1:5" s="24" customFormat="1" x14ac:dyDescent="0.3">
      <c r="A327" s="21"/>
      <c r="B327" s="21"/>
      <c r="C327" s="21"/>
      <c r="D327" s="21"/>
      <c r="E327" s="21"/>
    </row>
    <row r="328" spans="1:5" s="24" customFormat="1" x14ac:dyDescent="0.3">
      <c r="A328" s="21"/>
      <c r="B328" s="21"/>
      <c r="C328" s="21"/>
      <c r="D328" s="21"/>
      <c r="E328" s="21"/>
    </row>
    <row r="329" spans="1:5" s="24" customFormat="1" x14ac:dyDescent="0.3">
      <c r="A329" s="21"/>
      <c r="B329" s="21"/>
      <c r="C329" s="21"/>
      <c r="D329" s="21"/>
      <c r="E329" s="21"/>
    </row>
    <row r="330" spans="1:5" s="24" customFormat="1" x14ac:dyDescent="0.3">
      <c r="A330" s="21"/>
      <c r="B330" s="21"/>
      <c r="C330" s="21"/>
      <c r="D330" s="21"/>
      <c r="E330" s="21"/>
    </row>
    <row r="331" spans="1:5" s="24" customFormat="1" x14ac:dyDescent="0.3">
      <c r="A331" s="21"/>
      <c r="B331" s="21"/>
      <c r="C331" s="21"/>
      <c r="D331" s="21"/>
      <c r="E331" s="21"/>
    </row>
    <row r="332" spans="1:5" s="24" customFormat="1" x14ac:dyDescent="0.3">
      <c r="A332" s="21"/>
      <c r="B332" s="21"/>
      <c r="C332" s="21"/>
      <c r="D332" s="21"/>
      <c r="E332" s="21"/>
    </row>
    <row r="333" spans="1:5" s="24" customFormat="1" x14ac:dyDescent="0.3">
      <c r="A333" s="21"/>
      <c r="B333" s="21"/>
      <c r="C333" s="21"/>
      <c r="D333" s="21"/>
      <c r="E333" s="21"/>
    </row>
    <row r="334" spans="1:5" s="24" customFormat="1" x14ac:dyDescent="0.3">
      <c r="A334" s="21"/>
      <c r="B334" s="21"/>
      <c r="C334" s="21"/>
      <c r="D334" s="21"/>
      <c r="E334" s="21"/>
    </row>
    <row r="335" spans="1:5" s="24" customFormat="1" x14ac:dyDescent="0.3">
      <c r="A335" s="21"/>
      <c r="B335" s="21"/>
      <c r="C335" s="21"/>
      <c r="D335" s="21"/>
      <c r="E335" s="21"/>
    </row>
    <row r="336" spans="1:5" s="24" customFormat="1" x14ac:dyDescent="0.3">
      <c r="A336" s="21"/>
      <c r="B336" s="21"/>
      <c r="C336" s="21"/>
      <c r="D336" s="21"/>
      <c r="E336" s="21"/>
    </row>
  </sheetData>
  <mergeCells count="3">
    <mergeCell ref="A9:E9"/>
    <mergeCell ref="A6:E6"/>
    <mergeCell ref="A8:E8"/>
  </mergeCells>
  <dataValidations count="1">
    <dataValidation type="list" allowBlank="1" showInputMessage="1" showErrorMessage="1" sqref="B1" xr:uid="{8E89D524-1192-44E5-BD8D-890C3678A72D}">
      <formula1>$A$17:$A$67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Mercado</vt:lpstr>
      <vt:lpstr>Equipamentos</vt:lpstr>
      <vt:lpstr>Montarias</vt:lpstr>
      <vt:lpstr>Serviços</vt:lpstr>
      <vt:lpstr>Casas</vt:lpstr>
      <vt:lpstr>Relações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Feron</dc:creator>
  <cp:lastModifiedBy>Matheus</cp:lastModifiedBy>
  <dcterms:created xsi:type="dcterms:W3CDTF">2019-07-28T22:19:50Z</dcterms:created>
  <dcterms:modified xsi:type="dcterms:W3CDTF">2021-11-23T00:35:25Z</dcterms:modified>
</cp:coreProperties>
</file>