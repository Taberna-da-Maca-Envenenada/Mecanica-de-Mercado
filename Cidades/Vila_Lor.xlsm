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70FCDF12-5D07-4938-996E-DBE3ACE64908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D3" i="6"/>
  <c r="D2" i="6"/>
  <c r="C11" i="6" a="1"/>
  <c r="B11" i="6" a="1"/>
  <c r="A10" i="6" a="1"/>
  <c r="D10" i="6" a="1"/>
  <c r="B3" i="6"/>
  <c r="A18" i="6" a="1"/>
  <c r="E11" i="6" a="1"/>
  <c r="D11" i="6" a="1"/>
  <c r="B10" i="6" a="1"/>
  <c r="E10" i="6" a="1"/>
  <c r="C10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C6" i="4" a="1"/>
  <c r="C3" i="4" a="1"/>
  <c r="C7" i="4" a="1"/>
  <c r="C4" i="4" a="1"/>
  <c r="C2" i="4" a="1"/>
  <c r="E5" i="4" a="1"/>
  <c r="C4" i="4" l="1"/>
  <c r="C2" i="4"/>
  <c r="E5" i="4"/>
  <c r="C7" i="4"/>
  <c r="C6" i="4"/>
  <c r="C3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E7" i="4" a="1"/>
  <c r="D8" i="1" a="1"/>
  <c r="D49" i="1" a="1"/>
  <c r="D33" i="1" a="1"/>
  <c r="D23" i="1" a="1"/>
  <c r="D15" i="1" a="1"/>
  <c r="D58" i="1" a="1"/>
  <c r="D50" i="1" a="1"/>
  <c r="D40" i="1" a="1"/>
  <c r="D32" i="1" a="1"/>
  <c r="D24" i="1" a="1"/>
  <c r="D16" i="1" a="1"/>
  <c r="D57" i="1" a="1"/>
  <c r="D55" i="1" a="1"/>
  <c r="D37" i="1" a="1"/>
  <c r="E2" i="4" a="1"/>
  <c r="D29" i="1" a="1"/>
  <c r="D56" i="1" a="1"/>
  <c r="D38" i="1" a="1"/>
  <c r="D30" i="1" a="1"/>
  <c r="D14" i="1" a="1"/>
  <c r="D51" i="1" a="1"/>
  <c r="D31" i="1" a="1"/>
  <c r="D42" i="1" a="1"/>
  <c r="D26" i="1" a="1"/>
  <c r="D61" i="1" a="1"/>
  <c r="E6" i="4" a="1"/>
  <c r="D7" i="1" a="1"/>
  <c r="D43" i="1" a="1"/>
  <c r="D21" i="1" a="1"/>
  <c r="D11" i="1" a="1"/>
  <c r="D48" i="1" a="1"/>
  <c r="D22" i="1" a="1"/>
  <c r="D45" i="1" a="1"/>
  <c r="C5" i="4" a="1"/>
  <c r="D18" i="1" a="1"/>
  <c r="D9" i="1" a="1"/>
  <c r="E3" i="4" a="1"/>
  <c r="D6" i="1" a="1"/>
  <c r="D59" i="1" a="1"/>
  <c r="D39" i="1" a="1"/>
  <c r="D27" i="1" a="1"/>
  <c r="D19" i="1" a="1"/>
  <c r="D62" i="1" a="1"/>
  <c r="D54" i="1" a="1"/>
  <c r="D44" i="1" a="1"/>
  <c r="D36" i="1" a="1"/>
  <c r="D28" i="1" a="1"/>
  <c r="D20" i="1" a="1"/>
  <c r="D12" i="1" a="1"/>
  <c r="D13" i="1" a="1"/>
  <c r="D47" i="1" a="1"/>
  <c r="D46" i="1" a="1"/>
  <c r="E4" i="4" a="1"/>
  <c r="D5" i="1" a="1"/>
  <c r="D53" i="1" a="1"/>
  <c r="D35" i="1" a="1"/>
  <c r="D25" i="1" a="1"/>
  <c r="D17" i="1" a="1"/>
  <c r="D60" i="1" a="1"/>
  <c r="D52" i="1" a="1"/>
  <c r="D34" i="1" a="1"/>
  <c r="D10" i="1" a="1"/>
  <c r="D41" i="1" a="1"/>
  <c r="E4" i="4" l="1"/>
  <c r="E3" i="4"/>
  <c r="E6" i="4"/>
  <c r="E7" i="4"/>
  <c r="D7" i="1"/>
  <c r="D8" i="1"/>
  <c r="E8" i="1" s="1"/>
  <c r="F8" i="1" s="1"/>
  <c r="J8" i="1" s="1"/>
  <c r="I8" i="1" s="1"/>
  <c r="H8" i="1" s="1"/>
  <c r="D5" i="1"/>
  <c r="D6" i="1"/>
  <c r="E6" i="1" s="1"/>
  <c r="F6" i="1" s="1"/>
  <c r="J6" i="1" s="1"/>
  <c r="I6" i="1" s="1"/>
  <c r="H6" i="1" s="1"/>
  <c r="G6" i="1" s="1"/>
  <c r="D46" i="1"/>
  <c r="D31" i="1"/>
  <c r="E31" i="1" s="1"/>
  <c r="F31" i="1" s="1"/>
  <c r="J31" i="1" s="1"/>
  <c r="I31" i="1" s="1"/>
  <c r="H31" i="1" s="1"/>
  <c r="G31" i="1" s="1"/>
  <c r="D37" i="1"/>
  <c r="E37" i="1" s="1"/>
  <c r="F37" i="1" s="1"/>
  <c r="J37" i="1" s="1"/>
  <c r="I37" i="1" s="1"/>
  <c r="H37" i="1" s="1"/>
  <c r="D41" i="1"/>
  <c r="E41" i="1" s="1"/>
  <c r="F41" i="1" s="1"/>
  <c r="J41" i="1" s="1"/>
  <c r="I41" i="1" s="1"/>
  <c r="H41" i="1" s="1"/>
  <c r="G41" i="1" s="1"/>
  <c r="D47" i="1"/>
  <c r="D51" i="1"/>
  <c r="E51" i="1" s="1"/>
  <c r="F51" i="1" s="1"/>
  <c r="J51" i="1" s="1"/>
  <c r="I51" i="1" s="1"/>
  <c r="H51" i="1" s="1"/>
  <c r="G51" i="1" s="1"/>
  <c r="D55" i="1"/>
  <c r="E55" i="1" s="1"/>
  <c r="F55" i="1" s="1"/>
  <c r="J55" i="1" s="1"/>
  <c r="I55" i="1" s="1"/>
  <c r="H55" i="1" s="1"/>
  <c r="G55" i="1" s="1"/>
  <c r="D61" i="1"/>
  <c r="E61" i="1" s="1"/>
  <c r="F61" i="1" s="1"/>
  <c r="J61" i="1" s="1"/>
  <c r="I61" i="1" s="1"/>
  <c r="H61" i="1" s="1"/>
  <c r="D13" i="1"/>
  <c r="D45" i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2" i="1"/>
  <c r="D14" i="1"/>
  <c r="E14" i="1" s="1"/>
  <c r="F14" i="1" s="1"/>
  <c r="J14" i="1" s="1"/>
  <c r="I14" i="1" s="1"/>
  <c r="H14" i="1" s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D22" i="1"/>
  <c r="E22" i="1" s="1"/>
  <c r="F22" i="1" s="1"/>
  <c r="J22" i="1" s="1"/>
  <c r="I22" i="1" s="1"/>
  <c r="H22" i="1" s="1"/>
  <c r="G22" i="1" s="1"/>
  <c r="D24" i="1"/>
  <c r="E24" i="1" s="1"/>
  <c r="F24" i="1" s="1"/>
  <c r="J24" i="1" s="1"/>
  <c r="I24" i="1" s="1"/>
  <c r="H24" i="1" s="1"/>
  <c r="D26" i="1"/>
  <c r="E26" i="1" s="1"/>
  <c r="F26" i="1" s="1"/>
  <c r="J26" i="1" s="1"/>
  <c r="I26" i="1" s="1"/>
  <c r="H26" i="1" s="1"/>
  <c r="D28" i="1"/>
  <c r="D30" i="1"/>
  <c r="E30" i="1" s="1"/>
  <c r="F30" i="1" s="1"/>
  <c r="J30" i="1" s="1"/>
  <c r="I30" i="1" s="1"/>
  <c r="H30" i="1" s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D38" i="1"/>
  <c r="E38" i="1" s="1"/>
  <c r="F38" i="1" s="1"/>
  <c r="J38" i="1" s="1"/>
  <c r="I38" i="1" s="1"/>
  <c r="H38" i="1" s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D48" i="1"/>
  <c r="E48" i="1" s="1"/>
  <c r="F48" i="1" s="1"/>
  <c r="J48" i="1" s="1"/>
  <c r="I48" i="1" s="1"/>
  <c r="H48" i="1" s="1"/>
  <c r="G48" i="1" s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D56" i="1"/>
  <c r="E56" i="1" s="1"/>
  <c r="F56" i="1" s="1"/>
  <c r="J56" i="1" s="1"/>
  <c r="I56" i="1" s="1"/>
  <c r="H56" i="1" s="1"/>
  <c r="G56" i="1" s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D11" i="1"/>
  <c r="E11" i="1" s="1"/>
  <c r="F11" i="1" s="1"/>
  <c r="J11" i="1" s="1"/>
  <c r="I11" i="1" s="1"/>
  <c r="H11" i="1" s="1"/>
  <c r="G11" i="1" s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D21" i="1"/>
  <c r="E21" i="1" s="1"/>
  <c r="F21" i="1" s="1"/>
  <c r="J21" i="1" s="1"/>
  <c r="I21" i="1" s="1"/>
  <c r="H21" i="1" s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D29" i="1"/>
  <c r="E29" i="1" s="1"/>
  <c r="F29" i="1" s="1"/>
  <c r="J29" i="1" s="1"/>
  <c r="I29" i="1" s="1"/>
  <c r="H29" i="1" s="1"/>
  <c r="G29" i="1" s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D43" i="1"/>
  <c r="E43" i="1" s="1"/>
  <c r="F43" i="1" s="1"/>
  <c r="J43" i="1" s="1"/>
  <c r="I43" i="1" s="1"/>
  <c r="H43" i="1" s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D9" i="1"/>
  <c r="E9" i="1" s="1"/>
  <c r="F9" i="1" s="1"/>
  <c r="J9" i="1" s="1"/>
  <c r="I9" i="1" s="1"/>
  <c r="H9" i="1" s="1"/>
  <c r="G9" i="1" s="1"/>
  <c r="E39" i="1"/>
  <c r="F39" i="1" s="1"/>
  <c r="J39" i="1" s="1"/>
  <c r="I39" i="1" s="1"/>
  <c r="H39" i="1" s="1"/>
  <c r="G39" i="1" s="1"/>
  <c r="E47" i="1"/>
  <c r="F47" i="1" s="1"/>
  <c r="J47" i="1" s="1"/>
  <c r="I47" i="1" s="1"/>
  <c r="H47" i="1" s="1"/>
  <c r="E46" i="1"/>
  <c r="F46" i="1" s="1"/>
  <c r="J46" i="1" s="1"/>
  <c r="I46" i="1" s="1"/>
  <c r="H46" i="1" s="1"/>
  <c r="G46" i="1" s="1"/>
  <c r="E54" i="1"/>
  <c r="F54" i="1" s="1"/>
  <c r="J54" i="1" s="1"/>
  <c r="I54" i="1" s="1"/>
  <c r="H54" i="1" s="1"/>
  <c r="G54" i="1" s="1"/>
  <c r="E7" i="1"/>
  <c r="F7" i="1" s="1"/>
  <c r="J7" i="1" s="1"/>
  <c r="I7" i="1" s="1"/>
  <c r="H7" i="1" s="1"/>
  <c r="G7" i="1" s="1"/>
  <c r="E19" i="1"/>
  <c r="F19" i="1" s="1"/>
  <c r="J19" i="1" s="1"/>
  <c r="I19" i="1" s="1"/>
  <c r="H19" i="1" s="1"/>
  <c r="G19" i="1" s="1"/>
  <c r="E28" i="1"/>
  <c r="F28" i="1" s="1"/>
  <c r="J28" i="1" s="1"/>
  <c r="I28" i="1" s="1"/>
  <c r="H28" i="1" s="1"/>
  <c r="G28" i="1" s="1"/>
  <c r="E45" i="1"/>
  <c r="F45" i="1" s="1"/>
  <c r="J45" i="1" s="1"/>
  <c r="I45" i="1" s="1"/>
  <c r="H45" i="1" s="1"/>
  <c r="E59" i="1"/>
  <c r="F59" i="1" s="1"/>
  <c r="J59" i="1" s="1"/>
  <c r="I59" i="1" s="1"/>
  <c r="H59" i="1" s="1"/>
  <c r="E13" i="1"/>
  <c r="F13" i="1" s="1"/>
  <c r="J13" i="1" s="1"/>
  <c r="I13" i="1" s="1"/>
  <c r="H13" i="1" s="1"/>
  <c r="G13" i="1" s="1"/>
  <c r="E27" i="1"/>
  <c r="F27" i="1" s="1"/>
  <c r="J27" i="1" s="1"/>
  <c r="I27" i="1" s="1"/>
  <c r="H27" i="1" s="1"/>
  <c r="G27" i="1" s="1"/>
  <c r="E62" i="1"/>
  <c r="F62" i="1" s="1"/>
  <c r="J62" i="1" s="1"/>
  <c r="I62" i="1" s="1"/>
  <c r="H62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36" i="1"/>
  <c r="F36" i="1" s="1"/>
  <c r="J36" i="1" s="1"/>
  <c r="I36" i="1" s="1"/>
  <c r="H36" i="1" s="1"/>
  <c r="E44" i="1"/>
  <c r="F44" i="1" s="1"/>
  <c r="J44" i="1" s="1"/>
  <c r="I44" i="1" s="1"/>
  <c r="H44" i="1" s="1"/>
  <c r="E20" i="1"/>
  <c r="F20" i="1" s="1"/>
  <c r="J20" i="1" s="1"/>
  <c r="I20" i="1" s="1"/>
  <c r="H20" i="1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5" i="1"/>
  <c r="F5" i="1" s="1"/>
  <c r="J5" i="1" s="1"/>
  <c r="I5" i="1" s="1"/>
  <c r="H5" i="1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12" i="1"/>
  <c r="F12" i="1" s="1"/>
  <c r="J12" i="1" s="1"/>
  <c r="I12" i="1" s="1"/>
  <c r="H12" i="1" s="1"/>
  <c r="G12" i="1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G7" i="7" l="1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<sst xmlns="http://schemas.openxmlformats.org/spreadsheetml/2006/main" count="228" uniqueCount="169">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</sst>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24">
      <calculatedColumnFormula array="1">PROCIMPORT(Tabela1[[#This Row],[Importa de]])</calculatedColumnFormula>
    </tableColumn>
    <tableColumn id="16" xr3:uid="{319299FA-CB72-41FF-B776-37AAB1D8951A}" name="Mod Final" dataDxfId="23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2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1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0"/>
    <tableColumn id="13" xr3:uid="{D9632FAA-0895-4FF7-9A8A-82678D063E0E}" name="Importa de" dataDxfId="19"/>
    <tableColumn id="12" xr3:uid="{FE2BECD3-A268-43EB-93C7-186C7BAD8822}" name="Mod Importação" dataDxfId="18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7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6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5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14"/>
    <tableColumn id="13" xr3:uid="{6A26402F-308C-4417-BBE5-054F15E50443}" name="Importa de" dataDxfId="13"/>
    <tableColumn id="12" xr3:uid="{D9B2D092-36C7-475A-815F-83D6E881762E}" name="Mod Importação" dataDxfId="12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11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10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9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8"/>
    <tableColumn id="13" xr3:uid="{8A4A59CE-4E64-4958-B252-B4B359DF2578}" name="Importa de" dataDxfId="7"/>
    <tableColumn id="12" xr3:uid="{9DA7CA01-187C-4E06-A975-AA3CFDE4E0A1}" name="Mod Importação" dataDxfId="6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5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4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3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2"/>
    <tableColumn id="8" xr3:uid="{53F07631-AA12-454B-8D6B-32A22C47E30D}" name="Mod Final" dataDxfId="1">
      <calculatedColumnFormula>Tabela3[[#This Row],[Mod]]*$G$1</calculatedColumnFormula>
    </tableColumn>
    <tableColumn id="3" xr3:uid="{E1C563A1-9678-4FB7-9423-EF03EE681AA3}" name="Preço" dataDxfId="0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D2" sqref="D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1.1011500000255183</v>
      </c>
    </row>
    <row r="2" spans="1:12" x14ac:dyDescent="0.3">
      <c r="A2" t="s">
        <v>112</v>
      </c>
      <c r="B2" s="6">
        <v>1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1.1011500000255183</v>
      </c>
      <c r="F5" s="2">
        <f ca="1">$B$2*EXP($B$3*Tabela1[[#This Row],[Mod Final]])/EXP($B$3)</f>
        <v>1.106442595734157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5.8360950001352467</v>
      </c>
      <c r="F6" s="2">
        <f ca="1">$B$2*EXP($B$3*Tabela1[[#This Row],[Mod Final]])/EXP($B$3)</f>
        <v>125.9764519418697</v>
      </c>
      <c r="G6">
        <f ca="1">ROUNDDOWN(F6 - (J6*CONFIG!$E$12 + CONFIG!$D$12*I6 + CONFIG!$C$12*H6)/CONFIG!$B$11,0)</f>
        <v>5</v>
      </c>
      <c r="H6">
        <f ca="1">ROUNDDOWN((F6- (I6*CONFIG!$D$12 + J6*CONFIG!$E$12))/CONFIG!$C$11,0)</f>
        <v>6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7.7080500001786287</v>
      </c>
      <c r="F7" s="2">
        <f ca="1">$B$2*EXP($B$3*Tabela1[[#This Row],[Mod Final]])/EXP($B$3)</f>
        <v>818.97208594634265</v>
      </c>
      <c r="G7">
        <f ca="1">ROUNDDOWN(F7 - (J7*CONFIG!$E$12 + CONFIG!$D$12*I7 + CONFIG!$C$12*H7)/CONFIG!$B$11,0)</f>
        <v>18</v>
      </c>
      <c r="H7">
        <f ca="1">ROUNDDOWN((F7- (I7*CONFIG!$D$12 + J7*CONFIG!$E$12))/CONFIG!$C$11,0)</f>
        <v>0</v>
      </c>
      <c r="I7">
        <f ca="1">ROUNDDOWN((F7 - J7*CONFIG!$E$12)/CONFIG!$D$12,0)</f>
        <v>2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6.60690000015311</v>
      </c>
      <c r="F8" s="2">
        <f ca="1">$B$2*EXP($B$3*Tabela1[[#This Row],[Mod Final]])/EXP($B$3)</f>
        <v>272.29880201154106</v>
      </c>
      <c r="G8">
        <f ca="1">ROUNDDOWN(F8 - (J8*CONFIG!$E$12 + CONFIG!$D$12*I8 + CONFIG!$C$12*H8)/CONFIG!$B$11,0)</f>
        <v>12</v>
      </c>
      <c r="H8">
        <f ca="1">ROUNDDOWN((F8- (I8*CONFIG!$D$12 + J8*CONFIG!$E$12))/CONFIG!$C$11,0)</f>
        <v>13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/>
      <c r="D9" s="11" t="str" cm="1">
        <f t="array" aca="1" ref="D9" ca="1">PROCIMPORT(Tabela1[[#This Row],[Importa de]])</f>
        <v/>
      </c>
      <c r="E9" s="11">
        <f ca="1">Tabela1[[#This Row],[Mod]]*IF(Tabela1[[#This Row],[Mod Importação]]="",1,Tabela1[[#This Row],[Mod Importação]])*$G$1</f>
        <v>2.2023000000510367</v>
      </c>
      <c r="F9" s="2">
        <f ca="1">$B$2*EXP($B$3*Tabela1[[#This Row],[Mod Final]])/EXP($B$3)</f>
        <v>3.3277619802744569</v>
      </c>
      <c r="G9">
        <f ca="1">ROUNDDOWN(F9 - (J9*CONFIG!$E$12 + CONFIG!$D$12*I9 + CONFIG!$C$12*H9)/CONFIG!$B$11,0)</f>
        <v>3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2.2023000000510367</v>
      </c>
      <c r="F10" s="2">
        <f ca="1">$B$2*EXP($B$3*Tabela1[[#This Row],[Mod Final]])/EXP($B$3)</f>
        <v>3.3277619802744569</v>
      </c>
      <c r="G10">
        <f ca="1">ROUNDDOWN(F10 - (J10*CONFIG!$E$12 + CONFIG!$D$12*I10 + CONFIG!$C$12*H10)/CONFIG!$B$11,0)</f>
        <v>3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2.2023000000510367</v>
      </c>
      <c r="F11" s="2">
        <f ca="1">$B$2*EXP($B$3*Tabela1[[#This Row],[Mod Final]])/EXP($B$3)</f>
        <v>3.3277619802744569</v>
      </c>
      <c r="G11">
        <f ca="1">ROUNDDOWN(F11 - (J11*CONFIG!$E$12 + CONFIG!$D$12*I11 + CONFIG!$C$12*H11)/CONFIG!$B$11,0)</f>
        <v>3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 t="s">
        <v>103</v>
      </c>
      <c r="D12" s="11" t="str" cm="1">
        <f t="array" aca="1" ref="D12" ca="1">PROCIMPORT(Tabela1[[#This Row],[Importa de]])</f>
        <v>1,07</v>
      </c>
      <c r="E12" s="11">
        <f ca="1">Tabela1[[#This Row],[Mod]]*IF(Tabela1[[#This Row],[Mod Importação]]="",1,Tabela1[[#This Row],[Mod Importação]])*$G$1</f>
        <v>2.9455762500682616</v>
      </c>
      <c r="F12" s="2">
        <f ca="1">$B$2*EXP($B$3*Tabela1[[#This Row],[Mod Final]])/EXP($B$3)</f>
        <v>6.997663097257079</v>
      </c>
      <c r="G12">
        <f ca="1">ROUNDDOWN(F12 - (J12*CONFIG!$E$12 + CONFIG!$D$12*I12 + CONFIG!$C$12*H12)/CONFIG!$B$11,0)</f>
        <v>6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2.2023000000510367</v>
      </c>
      <c r="F13" s="2">
        <f ca="1">$B$2*EXP($B$3*Tabela1[[#This Row],[Mod Final]])/EXP($B$3)</f>
        <v>3.3277619802744569</v>
      </c>
      <c r="G13">
        <f ca="1">ROUNDDOWN(F13 - (J13*CONFIG!$E$12 + CONFIG!$D$12*I13 + CONFIG!$C$12*H13)/CONFIG!$B$11,0)</f>
        <v>3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2.2023000000510367</v>
      </c>
      <c r="F14" s="2">
        <f ca="1">$B$2*EXP($B$3*Tabela1[[#This Row],[Mod Final]])/EXP($B$3)</f>
        <v>3.3277619802744569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2.2023000000510367</v>
      </c>
      <c r="F15" s="2">
        <f ca="1">$B$2*EXP($B$3*Tabela1[[#This Row],[Mod Final]])/EXP($B$3)</f>
        <v>3.3277619802744569</v>
      </c>
      <c r="G15">
        <f ca="1">ROUNDDOWN(F15 - (J15*CONFIG!$E$12 + CONFIG!$D$12*I15 + CONFIG!$C$12*H15)/CONFIG!$B$11,0)</f>
        <v>3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1.1011500000255183</v>
      </c>
      <c r="F16" s="2">
        <f ca="1">$B$2*EXP($B$3*Tabela1[[#This Row],[Mod Final]])/EXP($B$3)</f>
        <v>1.106442595734157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6.7170150001556612</v>
      </c>
      <c r="F17" s="2">
        <f ca="1">$B$2*EXP($B$3*Tabela1[[#This Row],[Mod Final]])/EXP($B$3)</f>
        <v>303.99613884435047</v>
      </c>
      <c r="G17">
        <f ca="1">ROUNDDOWN(F17 - (J17*CONFIG!$E$12 + CONFIG!$D$12*I17 + CONFIG!$C$12*H17)/CONFIG!$B$11,0)</f>
        <v>3</v>
      </c>
      <c r="H17">
        <f ca="1">ROUNDDOWN((F17- (I17*CONFIG!$D$12 + J17*CONFIG!$E$12))/CONFIG!$C$11,0)</f>
        <v>15</v>
      </c>
      <c r="I17">
        <f ca="1">ROUNDDOWN((F17 - J17*CONFIG!$E$12)/CONFIG!$D$12,0)</f>
        <v>0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2.2023000000510367</v>
      </c>
      <c r="F18" s="2">
        <f ca="1">$B$2*EXP($B$3*Tabela1[[#This Row],[Mod Final]])/EXP($B$3)</f>
        <v>3.3277619802744569</v>
      </c>
      <c r="G18">
        <f ca="1">ROUNDDOWN(F18 - (J18*CONFIG!$E$12 + CONFIG!$D$12*I18 + CONFIG!$C$12*H18)/CONFIG!$B$11,0)</f>
        <v>3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2.3124150000535888</v>
      </c>
      <c r="F19" s="2">
        <f ca="1">$B$2*EXP($B$3*Tabela1[[#This Row],[Mod Final]])/EXP($B$3)</f>
        <v>3.7151349382491548</v>
      </c>
      <c r="G19">
        <f ca="1">ROUNDDOWN(F19 - (J19*CONFIG!$E$12 + CONFIG!$D$12*I19 + CONFIG!$C$12*H19)/CONFIG!$B$11,0)</f>
        <v>3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1.1011500000255183</v>
      </c>
      <c r="F20" s="2">
        <f ca="1">$B$2*EXP($B$3*Tabela1[[#This Row],[Mod Final]])/EXP($B$3)</f>
        <v>1.106442595734157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3.303450000076555</v>
      </c>
      <c r="F21" s="2">
        <f ca="1">$B$2*EXP($B$3*Tabela1[[#This Row],[Mod Final]])/EXP($B$3)</f>
        <v>10.008652812224977</v>
      </c>
      <c r="G21">
        <f ca="1">ROUNDDOWN(F21 - (J21*CONFIG!$E$12 + CONFIG!$D$12*I21 + CONFIG!$C$12*H21)/CONFIG!$B$11,0)</f>
        <v>10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5.1754050001199365</v>
      </c>
      <c r="F22" s="2">
        <f ca="1">$B$2*EXP($B$3*Tabela1[[#This Row],[Mod Final]])/EXP($B$3)</f>
        <v>65.06618613868352</v>
      </c>
      <c r="G22">
        <f ca="1">ROUNDDOWN(F22 - (J22*CONFIG!$E$12 + CONFIG!$D$12*I22 + CONFIG!$C$12*H22)/CONFIG!$B$11,0)</f>
        <v>5</v>
      </c>
      <c r="H22">
        <f ca="1">ROUNDDOWN((F22- (I22*CONFIG!$D$12 + J22*CONFIG!$E$12))/CONFIG!$C$11,0)</f>
        <v>3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4.4046000001020733</v>
      </c>
      <c r="F23" s="2">
        <f ca="1">$B$2*EXP($B$3*Tabela1[[#This Row],[Mod Final]])/EXP($B$3)</f>
        <v>30.102252417523314</v>
      </c>
      <c r="G23">
        <f ca="1">ROUNDDOWN(F23 - (J23*CONFIG!$E$12 + CONFIG!$D$12*I23 + CONFIG!$C$12*H23)/CONFIG!$B$11,0)</f>
        <v>10</v>
      </c>
      <c r="H23">
        <f ca="1">ROUNDDOWN((F23- (I23*CONFIG!$D$12 + J23*CONFIG!$E$12))/CONFIG!$C$11,0)</f>
        <v>1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5.5057500001275912</v>
      </c>
      <c r="F24" s="2">
        <f ca="1">$B$2*EXP($B$3*Tabela1[[#This Row],[Mod Final]])/EXP($B$3)</f>
        <v>90.536220769041421</v>
      </c>
      <c r="G24">
        <f ca="1">ROUNDDOWN(F24 - (J24*CONFIG!$E$12 + CONFIG!$D$12*I24 + CONFIG!$C$12*H24)/CONFIG!$B$11,0)</f>
        <v>10</v>
      </c>
      <c r="H24">
        <f ca="1">ROUNDDOWN((F24- (I24*CONFIG!$D$12 + J24*CONFIG!$E$12))/CONFIG!$C$11,0)</f>
        <v>4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5.5057500001275912</v>
      </c>
      <c r="F25" s="2">
        <f ca="1">$B$2*EXP($B$3*Tabela1[[#This Row],[Mod Final]])/EXP($B$3)</f>
        <v>90.536220769041421</v>
      </c>
      <c r="G25">
        <f ca="1">ROUNDDOWN(F25 - (J25*CONFIG!$E$12 + CONFIG!$D$12*I25 + CONFIG!$C$12*H25)/CONFIG!$B$11,0)</f>
        <v>10</v>
      </c>
      <c r="H25">
        <f ca="1">ROUNDDOWN((F25- (I25*CONFIG!$D$12 + J25*CONFIG!$E$12))/CONFIG!$C$11,0)</f>
        <v>4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5.1754050001199365</v>
      </c>
      <c r="F26" s="2">
        <f ca="1">$B$2*EXP($B$3*Tabela1[[#This Row],[Mod Final]])/EXP($B$3)</f>
        <v>65.06618613868352</v>
      </c>
      <c r="G26">
        <f ca="1">ROUNDDOWN(F26 - (J26*CONFIG!$E$12 + CONFIG!$D$12*I26 + CONFIG!$C$12*H26)/CONFIG!$B$11,0)</f>
        <v>5</v>
      </c>
      <c r="H26">
        <f ca="1">ROUNDDOWN((F26- (I26*CONFIG!$D$12 + J26*CONFIG!$E$12))/CONFIG!$C$11,0)</f>
        <v>3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3.6337950000842101</v>
      </c>
      <c r="F27" s="2">
        <f ca="1">$B$2*EXP($B$3*Tabela1[[#This Row],[Mod Final]])/EXP($B$3)</f>
        <v>13.926520891771791</v>
      </c>
      <c r="G27">
        <f ca="1">ROUNDDOWN(F27 - (J27*CONFIG!$E$12 + CONFIG!$D$12*I27 + CONFIG!$C$12*H27)/CONFIG!$B$11,0)</f>
        <v>13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4.845060000112281</v>
      </c>
      <c r="F28" s="2">
        <f ca="1">$B$2*EXP($B$3*Tabela1[[#This Row],[Mod Final]])/EXP($B$3)</f>
        <v>46.761489961390978</v>
      </c>
      <c r="G28">
        <f ca="1">ROUNDDOWN(F28 - (J28*CONFIG!$E$12 + CONFIG!$D$12*I28 + CONFIG!$C$12*H28)/CONFIG!$B$11,0)</f>
        <v>6</v>
      </c>
      <c r="H28">
        <f ca="1">ROUNDDOWN((F28- (I28*CONFIG!$D$12 + J28*CONFIG!$E$12))/CONFIG!$C$11,0)</f>
        <v>2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2.6427600000612439</v>
      </c>
      <c r="F29" s="2">
        <f ca="1">$B$2*EXP($B$3*Tabela1[[#This Row],[Mod Final]])/EXP($B$3)</f>
        <v>5.1694174334913621</v>
      </c>
      <c r="G29">
        <f ca="1">ROUNDDOWN(F29 - (J29*CONFIG!$E$12 + CONFIG!$D$12*I29 + CONFIG!$C$12*H29)/CONFIG!$B$11,0)</f>
        <v>5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4.4046000001020733</v>
      </c>
      <c r="F30" s="2">
        <f ca="1">$B$2*EXP($B$3*Tabela1[[#This Row],[Mod Final]])/EXP($B$3)</f>
        <v>30.102252417523314</v>
      </c>
      <c r="G30">
        <f ca="1">ROUNDDOWN(F30 - (J30*CONFIG!$E$12 + CONFIG!$D$12*I30 + CONFIG!$C$12*H30)/CONFIG!$B$11,0)</f>
        <v>10</v>
      </c>
      <c r="H30">
        <f ca="1">ROUNDDOWN((F30- (I30*CONFIG!$D$12 + J30*CONFIG!$E$12))/CONFIG!$C$11,0)</f>
        <v>1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7.7080500001786287</v>
      </c>
      <c r="F31" s="2">
        <f ca="1">$B$2*EXP($B$3*Tabela1[[#This Row],[Mod Final]])/EXP($B$3)</f>
        <v>818.97208594634265</v>
      </c>
      <c r="G31">
        <f ca="1">ROUNDDOWN(F31 - (J31*CONFIG!$E$12 + CONFIG!$D$12*I31 + CONFIG!$C$12*H31)/CONFIG!$B$11,0)</f>
        <v>18</v>
      </c>
      <c r="H31">
        <f ca="1">ROUNDDOWN((F31- (I31*CONFIG!$D$12 + J31*CONFIG!$E$12))/CONFIG!$C$11,0)</f>
        <v>0</v>
      </c>
      <c r="I31">
        <f ca="1">ROUNDDOWN((F31 - J31*CONFIG!$E$12)/CONFIG!$D$12,0)</f>
        <v>2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5.5057500001275912</v>
      </c>
      <c r="F32" s="2">
        <f ca="1">$B$2*EXP($B$3*Tabela1[[#This Row],[Mod Final]])/EXP($B$3)</f>
        <v>90.536220769041421</v>
      </c>
      <c r="G32">
        <f ca="1">ROUNDDOWN(F32 - (J32*CONFIG!$E$12 + CONFIG!$D$12*I32 + CONFIG!$C$12*H32)/CONFIG!$B$11,0)</f>
        <v>10</v>
      </c>
      <c r="H32">
        <f ca="1">ROUNDDOWN((F32- (I32*CONFIG!$D$12 + J32*CONFIG!$E$12))/CONFIG!$C$11,0)</f>
        <v>4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3.9641400000918661</v>
      </c>
      <c r="F33" s="2">
        <f ca="1">$B$2*EXP($B$3*Tabela1[[#This Row],[Mod Final]])/EXP($B$3)</f>
        <v>19.378030968569551</v>
      </c>
      <c r="G33">
        <f ca="1">ROUNDDOWN(F33 - (J33*CONFIG!$E$12 + CONFIG!$D$12*I33 + CONFIG!$C$12*H33)/CONFIG!$B$11,0)</f>
        <v>19</v>
      </c>
      <c r="H33">
        <f ca="1">ROUNDDOWN((F33- (I33*CONFIG!$D$12 + J33*CONFIG!$E$12))/CONFIG!$C$11,0)</f>
        <v>0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3.5236800000816588</v>
      </c>
      <c r="F34" s="2">
        <f ca="1">$B$2*EXP($B$3*Tabela1[[#This Row],[Mod Final]])/EXP($B$3)</f>
        <v>12.474418160158919</v>
      </c>
      <c r="G34">
        <f ca="1">ROUNDDOWN(F34 - (J34*CONFIG!$E$12 + CONFIG!$D$12*I34 + CONFIG!$C$12*H34)/CONFIG!$B$11,0)</f>
        <v>12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3.303450000076555</v>
      </c>
      <c r="F35" s="2">
        <f ca="1">$B$2*EXP($B$3*Tabela1[[#This Row],[Mod Final]])/EXP($B$3)</f>
        <v>10.008652812224977</v>
      </c>
      <c r="G35">
        <f ca="1">ROUNDDOWN(F35 - (J35*CONFIG!$E$12 + CONFIG!$D$12*I35 + CONFIG!$C$12*H35)/CONFIG!$B$11,0)</f>
        <v>10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1.1011500000255183</v>
      </c>
      <c r="F36" s="2">
        <f ca="1">$B$2*EXP($B$3*Tabela1[[#This Row],[Mod Final]])/EXP($B$3)</f>
        <v>1.106442595734157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 t="s">
        <v>103</v>
      </c>
      <c r="D37" s="11" t="str" cm="1">
        <f t="array" aca="1" ref="D37" ca="1">PROCIMPORT(Tabela1[[#This Row],[Importa de]])</f>
        <v>1,07</v>
      </c>
      <c r="E37" s="11">
        <f ca="1">Tabela1[[#This Row],[Mod]]*IF(Tabela1[[#This Row],[Mod Importação]]="",1,Tabela1[[#This Row],[Mod Importação]])*$G$1</f>
        <v>3.5346915000819137</v>
      </c>
      <c r="F37" s="2">
        <f ca="1">$B$2*EXP($B$3*Tabela1[[#This Row],[Mod Final]])/EXP($B$3)</f>
        <v>12.612539280458744</v>
      </c>
      <c r="G37">
        <f ca="1">ROUNDDOWN(F37 - (J37*CONFIG!$E$12 + CONFIG!$D$12*I37 + CONFIG!$C$12*H37)/CONFIG!$B$11,0)</f>
        <v>12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2.6427600000612439</v>
      </c>
      <c r="F38" s="2">
        <f ca="1">$B$2*EXP($B$3*Tabela1[[#This Row],[Mod Final]])/EXP($B$3)</f>
        <v>5.1694174334913621</v>
      </c>
      <c r="G38">
        <f ca="1">ROUNDDOWN(F38 - (J38*CONFIG!$E$12 + CONFIG!$D$12*I38 + CONFIG!$C$12*H38)/CONFIG!$B$11,0)</f>
        <v>5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2.2023000000510367</v>
      </c>
      <c r="F39" s="2">
        <f ca="1">$B$2*EXP($B$3*Tabela1[[#This Row],[Mod Final]])/EXP($B$3)</f>
        <v>3.3277619802744569</v>
      </c>
      <c r="G39">
        <f ca="1">ROUNDDOWN(F39 - (J39*CONFIG!$E$12 + CONFIG!$D$12*I39 + CONFIG!$C$12*H39)/CONFIG!$B$11,0)</f>
        <v>3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2.7528750000637956</v>
      </c>
      <c r="F40" s="2">
        <f ca="1">$B$2*EXP($B$3*Tabela1[[#This Row],[Mod Final]])/EXP($B$3)</f>
        <v>5.7711709645694338</v>
      </c>
      <c r="G40">
        <f ca="1">ROUNDDOWN(F40 - (J40*CONFIG!$E$12 + CONFIG!$D$12*I40 + CONFIG!$C$12*H40)/CONFIG!$B$11,0)</f>
        <v>5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3.303450000076555</v>
      </c>
      <c r="F41" s="2">
        <f ca="1">$B$2*EXP($B$3*Tabela1[[#This Row],[Mod Final]])/EXP($B$3)</f>
        <v>10.008652812224977</v>
      </c>
      <c r="G41">
        <f ca="1">ROUNDDOWN(F41 - (J41*CONFIG!$E$12 + CONFIG!$D$12*I41 + CONFIG!$C$12*H41)/CONFIG!$B$11,0)</f>
        <v>10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4.845060000112281</v>
      </c>
      <c r="F42" s="2">
        <f ca="1">$B$2*EXP($B$3*Tabela1[[#This Row],[Mod Final]])/EXP($B$3)</f>
        <v>46.761489961390978</v>
      </c>
      <c r="G42">
        <f ca="1">ROUNDDOWN(F42 - (J42*CONFIG!$E$12 + CONFIG!$D$12*I42 + CONFIG!$C$12*H42)/CONFIG!$B$11,0)</f>
        <v>6</v>
      </c>
      <c r="H42">
        <f ca="1">ROUNDDOWN((F42- (I42*CONFIG!$D$12 + J42*CONFIG!$E$12))/CONFIG!$C$11,0)</f>
        <v>2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4.9551750001148323</v>
      </c>
      <c r="F43" s="2">
        <f ca="1">$B$2*EXP($B$3*Tabela1[[#This Row],[Mod Final]])/EXP($B$3)</f>
        <v>52.204828996159939</v>
      </c>
      <c r="G43">
        <f ca="1">ROUNDDOWN(F43 - (J43*CONFIG!$E$12 + CONFIG!$D$12*I43 + CONFIG!$C$12*H43)/CONFIG!$B$11,0)</f>
        <v>12</v>
      </c>
      <c r="H43">
        <f ca="1">ROUNDDOWN((F43- (I43*CONFIG!$D$12 + J43*CONFIG!$E$12))/CONFIG!$C$11,0)</f>
        <v>2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2.2023000000510367</v>
      </c>
      <c r="F44" s="2">
        <f ca="1">$B$2*EXP($B$3*Tabela1[[#This Row],[Mod Final]])/EXP($B$3)</f>
        <v>3.3277619802744569</v>
      </c>
      <c r="G44">
        <f ca="1">ROUNDDOWN(F44 - (J44*CONFIG!$E$12 + CONFIG!$D$12*I44 + CONFIG!$C$12*H44)/CONFIG!$B$11,0)</f>
        <v>3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3.303450000076555</v>
      </c>
      <c r="F45" s="2">
        <f ca="1">$B$2*EXP($B$3*Tabela1[[#This Row],[Mod Final]])/EXP($B$3)</f>
        <v>10.008652812224977</v>
      </c>
      <c r="G45">
        <f ca="1">ROUNDDOWN(F45 - (J45*CONFIG!$E$12 + CONFIG!$D$12*I45 + CONFIG!$C$12*H45)/CONFIG!$B$11,0)</f>
        <v>10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3.303450000076555</v>
      </c>
      <c r="F46" s="2">
        <f ca="1">$B$2*EXP($B$3*Tabela1[[#This Row],[Mod Final]])/EXP($B$3)</f>
        <v>10.008652812224977</v>
      </c>
      <c r="G46">
        <f ca="1">ROUNDDOWN(F46 - (J46*CONFIG!$E$12 + CONFIG!$D$12*I46 + CONFIG!$C$12*H46)/CONFIG!$B$11,0)</f>
        <v>10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1.6517250000382775</v>
      </c>
      <c r="F47" s="2">
        <f ca="1">$B$2*EXP($B$3*Tabela1[[#This Row],[Mod Final]])/EXP($B$3)</f>
        <v>1.9188479886224208</v>
      </c>
      <c r="G47">
        <f ca="1">ROUNDDOWN(F47 - (J47*CONFIG!$E$12 + CONFIG!$D$12*I47 + CONFIG!$C$12*H47)/CONFIG!$B$11,0)</f>
        <v>1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5.5057500001275912</v>
      </c>
      <c r="F48" s="2">
        <f ca="1">$B$2*EXP($B$3*Tabela1[[#This Row],[Mod Final]])/EXP($B$3)</f>
        <v>90.536220769041421</v>
      </c>
      <c r="G48">
        <f ca="1">ROUNDDOWN(F48 - (J48*CONFIG!$E$12 + CONFIG!$D$12*I48 + CONFIG!$C$12*H48)/CONFIG!$B$11,0)</f>
        <v>10</v>
      </c>
      <c r="H48">
        <f ca="1">ROUNDDOWN((F48- (I48*CONFIG!$D$12 + J48*CONFIG!$E$12))/CONFIG!$C$11,0)</f>
        <v>4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2.2023000000510367</v>
      </c>
      <c r="F49" s="2">
        <f ca="1">$B$2*EXP($B$3*Tabela1[[#This Row],[Mod Final]])/EXP($B$3)</f>
        <v>3.3277619802744569</v>
      </c>
      <c r="G49">
        <f ca="1">ROUNDDOWN(F49 - (J49*CONFIG!$E$12 + CONFIG!$D$12*I49 + CONFIG!$C$12*H49)/CONFIG!$B$11,0)</f>
        <v>3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1.2112650000280702</v>
      </c>
      <c r="F50" s="2">
        <f ca="1">$B$2*EXP($B$3*Tabela1[[#This Row],[Mod Final]])/EXP($B$3)</f>
        <v>1.2352396502348497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1.1011500000255183</v>
      </c>
      <c r="F51" s="2">
        <f ca="1">$B$2*EXP($B$3*Tabela1[[#This Row],[Mod Final]])/EXP($B$3)</f>
        <v>1.106442595734157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2.2023000000510367</v>
      </c>
      <c r="F52" s="2">
        <f ca="1">$B$2*EXP($B$3*Tabela1[[#This Row],[Mod Final]])/EXP($B$3)</f>
        <v>3.3277619802744569</v>
      </c>
      <c r="G52">
        <f ca="1">ROUNDDOWN(F52 - (J52*CONFIG!$E$12 + CONFIG!$D$12*I52 + CONFIG!$C$12*H52)/CONFIG!$B$11,0)</f>
        <v>3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1.4314950000331739</v>
      </c>
      <c r="F53" s="2">
        <f ca="1">$B$2*EXP($B$3*Tabela1[[#This Row],[Mod Final]])/EXP($B$3)</f>
        <v>1.5395574423579665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2.4225300000561405</v>
      </c>
      <c r="F54" s="2">
        <f ca="1">$B$2*EXP($B$3*Tabela1[[#This Row],[Mod Final]])/EXP($B$3)</f>
        <v>4.1476006070185356</v>
      </c>
      <c r="G54">
        <f ca="1">ROUNDDOWN(F54 - (J54*CONFIG!$E$12 + CONFIG!$D$12*I54 + CONFIG!$C$12*H54)/CONFIG!$B$11,0)</f>
        <v>4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7.1574750001658689</v>
      </c>
      <c r="F55" s="2">
        <f ca="1">$B$2*EXP($B$3*Tabela1[[#This Row],[Mod Final]])/EXP($B$3)</f>
        <v>472.23417695469874</v>
      </c>
      <c r="G55">
        <f ca="1">ROUNDDOWN(F55 - (J55*CONFIG!$E$12 + CONFIG!$D$12*I55 + CONFIG!$C$12*H55)/CONFIG!$B$11,0)</f>
        <v>12</v>
      </c>
      <c r="H55">
        <f ca="1">ROUNDDOWN((F55- (I55*CONFIG!$D$12 + J55*CONFIG!$E$12))/CONFIG!$C$11,0)</f>
        <v>3</v>
      </c>
      <c r="I55">
        <f ca="1">ROUNDDOWN((F55 - J55*CONFIG!$E$12)/CONFIG!$D$12,0)</f>
        <v>1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7.7080500001786287</v>
      </c>
      <c r="F56" s="2">
        <f ca="1">$B$2*EXP($B$3*Tabela1[[#This Row],[Mod Final]])/EXP($B$3)</f>
        <v>818.97208594634265</v>
      </c>
      <c r="G56">
        <f ca="1">ROUNDDOWN(F56 - (J56*CONFIG!$E$12 + CONFIG!$D$12*I56 + CONFIG!$C$12*H56)/CONFIG!$B$11,0)</f>
        <v>18</v>
      </c>
      <c r="H56">
        <f ca="1">ROUNDDOWN((F56- (I56*CONFIG!$D$12 + J56*CONFIG!$E$12))/CONFIG!$C$11,0)</f>
        <v>0</v>
      </c>
      <c r="I56">
        <f ca="1">ROUNDDOWN((F56 - J56*CONFIG!$E$12)/CONFIG!$D$12,0)</f>
        <v>2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5.6158650001301433</v>
      </c>
      <c r="F57" s="2">
        <f ca="1">$B$2*EXP($B$3*Tabela1[[#This Row],[Mod Final]])/EXP($B$3)</f>
        <v>101.07522080902064</v>
      </c>
      <c r="G57">
        <f ca="1">ROUNDDOWN(F57 - (J57*CONFIG!$E$12 + CONFIG!$D$12*I57 + CONFIG!$C$12*H57)/CONFIG!$B$11,0)</f>
        <v>1</v>
      </c>
      <c r="H57">
        <f ca="1">ROUNDDOWN((F57- (I57*CONFIG!$D$12 + J57*CONFIG!$E$12))/CONFIG!$C$11,0)</f>
        <v>5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4.6248300001071776</v>
      </c>
      <c r="F58" s="2">
        <f ca="1">$B$2*EXP($B$3*Tabela1[[#This Row],[Mod Final]])/EXP($B$3)</f>
        <v>37.518344502886521</v>
      </c>
      <c r="G58">
        <f ca="1">ROUNDDOWN(F58 - (J58*CONFIG!$E$12 + CONFIG!$D$12*I58 + CONFIG!$C$12*H58)/CONFIG!$B$11,0)</f>
        <v>17</v>
      </c>
      <c r="H58">
        <f ca="1">ROUNDDOWN((F58- (I58*CONFIG!$D$12 + J58*CONFIG!$E$12))/CONFIG!$C$11,0)</f>
        <v>1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6.056325000140351</v>
      </c>
      <c r="F59" s="2">
        <f ca="1">$B$2*EXP($B$3*Tabela1[[#This Row],[Mod Final]])/EXP($B$3)</f>
        <v>157.01243407470125</v>
      </c>
      <c r="G59">
        <f ca="1">ROUNDDOWN(F59 - (J59*CONFIG!$E$12 + CONFIG!$D$12*I59 + CONFIG!$C$12*H59)/CONFIG!$B$11,0)</f>
        <v>17</v>
      </c>
      <c r="H59">
        <f ca="1">ROUNDDOWN((F59- (I59*CONFIG!$D$12 + J59*CONFIG!$E$12))/CONFIG!$C$11,0)</f>
        <v>7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4.4046000001020733</v>
      </c>
      <c r="F60" s="2">
        <f ca="1">$B$2*EXP($B$3*Tabela1[[#This Row],[Mod Final]])/EXP($B$3)</f>
        <v>30.102252417523314</v>
      </c>
      <c r="G60">
        <f ca="1">ROUNDDOWN(F60 - (J60*CONFIG!$E$12 + CONFIG!$D$12*I60 + CONFIG!$C$12*H60)/CONFIG!$B$11,0)</f>
        <v>10</v>
      </c>
      <c r="H60">
        <f ca="1">ROUNDDOWN((F60- (I60*CONFIG!$D$12 + J60*CONFIG!$E$12))/CONFIG!$C$11,0)</f>
        <v>1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4.4046000001020733</v>
      </c>
      <c r="F61" s="2">
        <f ca="1">$B$2*EXP($B$3*Tabela1[[#This Row],[Mod Final]])/EXP($B$3)</f>
        <v>30.102252417523314</v>
      </c>
      <c r="G61">
        <f ca="1">ROUNDDOWN(F61 - (J61*CONFIG!$E$12 + CONFIG!$D$12*I61 + CONFIG!$C$12*H61)/CONFIG!$B$11,0)</f>
        <v>10</v>
      </c>
      <c r="H61">
        <f ca="1">ROUNDDOWN((F61- (I61*CONFIG!$D$12 + J61*CONFIG!$E$12))/CONFIG!$C$11,0)</f>
        <v>1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2.7528750000637956</v>
      </c>
      <c r="F62" s="2">
        <f ca="1">$B$2*EXP($B$3*Tabela1[[#This Row],[Mod Final]])/EXP($B$3)</f>
        <v>5.7711709645694338</v>
      </c>
      <c r="G62">
        <f ca="1">ROUNDDOWN(F62 - (J62*CONFIG!$E$12 + CONFIG!$D$12*I62 + CONFIG!$C$12*H62)/CONFIG!$B$11,0)</f>
        <v>5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1.1011500000255183</v>
      </c>
    </row>
    <row r="2" spans="1:12" x14ac:dyDescent="0.3">
      <c r="A2" t="s">
        <v>112</v>
      </c>
      <c r="B2" s="6">
        <v>10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107</v>
      </c>
      <c r="D4" s="39" t="s">
        <v>105</v>
      </c>
      <c r="E4" s="39" t="s">
        <v>108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123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1.7618400000408294</v>
      </c>
      <c r="F5" s="34">
        <f ca="1">$B$2*EXP($B$3*Tabela135[[#This Row],[Mod Final]])/EXP($B$3)</f>
        <v>21.422142707250728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1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141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7.1574750001658689</v>
      </c>
      <c r="F6" s="34">
        <f ca="1">$B$2*EXP($B$3*Tabela135[[#This Row],[Mod Final]])/EXP($B$3)</f>
        <v>4722.341769546988</v>
      </c>
      <c r="G6">
        <f ca="1">ROUNDDOWN(F6 - (J6*CONFIG!$E$12 + CONFIG!$D$12*I6 + CONFIG!$C$12*H6)/CONFIG!$B$11,0)</f>
        <v>2</v>
      </c>
      <c r="H6">
        <f ca="1">ROUNDDOWN((F6- (I6*CONFIG!$D$12 + J6*CONFIG!$E$12))/CONFIG!$C$11,0)</f>
        <v>16</v>
      </c>
      <c r="I6">
        <f ca="1">ROUNDDOWN((F6 - J6*CONFIG!$E$12)/CONFIG!$D$12,0)</f>
        <v>11</v>
      </c>
      <c r="J6">
        <f ca="1">ROUNDDOWN(F6/CONFIG!$E$12,0)</f>
        <v>0</v>
      </c>
    </row>
    <row r="7" spans="1:12" x14ac:dyDescent="0.3">
      <c r="A7" t="s">
        <v>137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1.1011500000255183</v>
      </c>
      <c r="F7" s="34">
        <f ca="1">$B$2*EXP($B$3*Tabela135[[#This Row],[Mod Final]])/EXP($B$3)</f>
        <v>11.064425957341571</v>
      </c>
      <c r="G7">
        <f ca="1">ROUNDDOWN(F7 - (J7*CONFIG!$E$12 + CONFIG!$D$12*I7 + CONFIG!$C$12*H7)/CONFIG!$B$11,0)</f>
        <v>11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139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1.7618400000408294</v>
      </c>
      <c r="F8" s="34">
        <f ca="1">$B$2*EXP($B$3*Tabela135[[#This Row],[Mod Final]])/EXP($B$3)</f>
        <v>21.422142707250728</v>
      </c>
      <c r="G8">
        <f ca="1">ROUNDDOWN(F8 - (J8*CONFIG!$E$12 + CONFIG!$D$12*I8 + CONFIG!$C$12*H8)/CONFIG!$B$11,0)</f>
        <v>1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138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1.3213800000306219</v>
      </c>
      <c r="F9" s="34">
        <f ca="1">$B$2*EXP($B$3*Tabela135[[#This Row],[Mod Final]])/EXP($B$3)</f>
        <v>13.79029512597433</v>
      </c>
      <c r="G9">
        <f ca="1">ROUNDDOWN(F9 - (J9*CONFIG!$E$12 + CONFIG!$D$12*I9 + CONFIG!$C$12*H9)/CONFIG!$B$11,0)</f>
        <v>13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140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3.303450000076555</v>
      </c>
      <c r="F10" s="34">
        <f ca="1">$B$2*EXP($B$3*Tabela135[[#This Row],[Mod Final]])/EXP($B$3)</f>
        <v>100.08652812224979</v>
      </c>
      <c r="G10">
        <f ca="1">ROUNDDOWN(F10 - (J10*CONFIG!$E$12 + CONFIG!$D$12*I10 + CONFIG!$C$12*H10)/CONFIG!$B$11,0)</f>
        <v>0</v>
      </c>
      <c r="H10">
        <f ca="1">ROUNDDOWN((F10- (I10*CONFIG!$D$12 + J10*CONFIG!$E$12))/CONFIG!$C$11,0)</f>
        <v>5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146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0.55057500001275916</v>
      </c>
      <c r="F11" s="34">
        <f ca="1">$B$2*EXP($B$3*Tabela135[[#This Row],[Mod Final]])/EXP($B$3)</f>
        <v>6.3799489324520593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148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1.3213800000306219</v>
      </c>
      <c r="F12" s="34">
        <f ca="1">$B$2*EXP($B$3*Tabela135[[#This Row],[Mod Final]])/EXP($B$3)</f>
        <v>13.79029512597433</v>
      </c>
      <c r="G12">
        <f ca="1">ROUNDDOWN(F12 - (J12*CONFIG!$E$12 + CONFIG!$D$12*I12 + CONFIG!$C$12*H12)/CONFIG!$B$11,0)</f>
        <v>13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147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1.1011500000255183</v>
      </c>
      <c r="F13" s="34">
        <f ca="1">$B$2*EXP($B$3*Tabela135[[#This Row],[Mod Final]])/EXP($B$3)</f>
        <v>11.064425957341571</v>
      </c>
      <c r="G13">
        <f ca="1">ROUNDDOWN(F13 - (J13*CONFIG!$E$12 + CONFIG!$D$12*I13 + CONFIG!$C$12*H13)/CONFIG!$B$11,0)</f>
        <v>11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127</v>
      </c>
      <c r="B14" s="5">
        <v>8</v>
      </c>
      <c r="C14" s="34" t="s">
        <v>114</v>
      </c>
      <c r="D14" s="35">
        <f ca="1">IF(Tabela135[[#This Row],[Importa de]]="","",LOOKUP(Tabela135[[#This Row],[Importa de]],_xlfn.ANCHORARRAY(Relações!$A$2),Relações!$C$2:$C$53))</f>
        <v>1.05</v>
      </c>
      <c r="E14" s="35">
        <f ca="1">Tabela135[[#This Row],[Mod]]*IF(Tabela135[[#This Row],[Mod Importação]]="",1,Tabela135[[#This Row],[Mod Importação]])*$G$1</f>
        <v>9.2496600002143552</v>
      </c>
      <c r="F14" s="34">
        <f ca="1">$B$2*EXP($B$3*Tabela135[[#This Row],[Mod Final]])/EXP($B$3)</f>
        <v>38263.246506925105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13</v>
      </c>
      <c r="I14">
        <f ca="1">ROUNDDOWN((F14 - J14*CONFIG!$E$12)/CONFIG!$D$12,0)</f>
        <v>95</v>
      </c>
      <c r="J14">
        <f ca="1">ROUNDDOWN(F14/CONFIG!$E$12,0)</f>
        <v>0</v>
      </c>
    </row>
    <row r="15" spans="1:12" x14ac:dyDescent="0.3">
      <c r="A15" t="s">
        <v>142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2.2023000000510367</v>
      </c>
      <c r="F15" s="34">
        <f ca="1">$B$2*EXP($B$3*Tabela135[[#This Row],[Mod Final]])/EXP($B$3)</f>
        <v>33.277619802744567</v>
      </c>
      <c r="G15">
        <f ca="1">ROUNDDOWN(F15 - (J15*CONFIG!$E$12 + CONFIG!$D$12*I15 + CONFIG!$C$12*H15)/CONFIG!$B$11,0)</f>
        <v>13</v>
      </c>
      <c r="H15">
        <f ca="1">ROUNDDOWN((F15- (I15*CONFIG!$D$12 + J15*CONFIG!$E$12))/CONFIG!$C$11,0)</f>
        <v>1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143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3.303450000076555</v>
      </c>
      <c r="F16" s="34">
        <f ca="1">$B$2*EXP($B$3*Tabela135[[#This Row],[Mod Final]])/EXP($B$3)</f>
        <v>100.08652812224979</v>
      </c>
      <c r="G16">
        <f ca="1">ROUNDDOWN(F16 - (J16*CONFIG!$E$12 + CONFIG!$D$12*I16 + CONFIG!$C$12*H16)/CONFIG!$B$11,0)</f>
        <v>0</v>
      </c>
      <c r="H16">
        <f ca="1">ROUNDDOWN((F16- (I16*CONFIG!$D$12 + J16*CONFIG!$E$12))/CONFIG!$C$11,0)</f>
        <v>5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144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6.60690000015311</v>
      </c>
      <c r="F17" s="34">
        <f ca="1">$B$2*EXP($B$3*Tabela135[[#This Row],[Mod Final]])/EXP($B$3)</f>
        <v>2722.9880201154106</v>
      </c>
      <c r="G17">
        <f ca="1">ROUNDDOWN(F17 - (J17*CONFIG!$E$12 + CONFIG!$D$12*I17 + CONFIG!$C$12*H17)/CONFIG!$B$11,0)</f>
        <v>2</v>
      </c>
      <c r="H17">
        <f ca="1">ROUNDDOWN((F17- (I17*CONFIG!$D$12 + J17*CONFIG!$E$12))/CONFIG!$C$11,0)</f>
        <v>16</v>
      </c>
      <c r="I17">
        <f ca="1">ROUNDDOWN((F17 - J17*CONFIG!$E$12)/CONFIG!$D$12,0)</f>
        <v>6</v>
      </c>
      <c r="J17">
        <f ca="1">ROUNDDOWN(F17/CONFIG!$E$12,0)</f>
        <v>0</v>
      </c>
    </row>
    <row r="18" spans="1:10" x14ac:dyDescent="0.3">
      <c r="A18" t="s">
        <v>145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1.5416100000357256</v>
      </c>
      <c r="F18" s="34">
        <f ca="1">$B$2*EXP($B$3*Tabela135[[#This Row],[Mod Final]])/EXP($B$3)</f>
        <v>17.187718585191178</v>
      </c>
      <c r="G18">
        <f ca="1">ROUNDDOWN(F18 - (J18*CONFIG!$E$12 + CONFIG!$D$12*I18 + CONFIG!$C$12*H18)/CONFIG!$B$11,0)</f>
        <v>17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131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6.60690000015311</v>
      </c>
      <c r="F19" s="34">
        <f ca="1">$B$2*EXP($B$3*Tabela135[[#This Row],[Mod Final]])/EXP($B$3)</f>
        <v>2722.9880201154106</v>
      </c>
      <c r="G19">
        <f ca="1">ROUNDDOWN(F19 - (J19*CONFIG!$E$12 + CONFIG!$D$12*I19 + CONFIG!$C$12*H19)/CONFIG!$B$11,0)</f>
        <v>2</v>
      </c>
      <c r="H19">
        <f ca="1">ROUNDDOWN((F19- (I19*CONFIG!$D$12 + J19*CONFIG!$E$12))/CONFIG!$C$11,0)</f>
        <v>16</v>
      </c>
      <c r="I19">
        <f ca="1">ROUNDDOWN((F19 - J19*CONFIG!$E$12)/CONFIG!$D$12,0)</f>
        <v>6</v>
      </c>
      <c r="J19">
        <f ca="1">ROUNDDOWN(F19/CONFIG!$E$12,0)</f>
        <v>0</v>
      </c>
    </row>
    <row r="20" spans="1:10" x14ac:dyDescent="0.3">
      <c r="A20" t="s">
        <v>135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1.3213800000306219</v>
      </c>
      <c r="F20" s="34">
        <f ca="1">$B$2*EXP($B$3*Tabela135[[#This Row],[Mod Final]])/EXP($B$3)</f>
        <v>13.79029512597433</v>
      </c>
      <c r="G20">
        <f ca="1">ROUNDDOWN(F20 - (J20*CONFIG!$E$12 + CONFIG!$D$12*I20 + CONFIG!$C$12*H20)/CONFIG!$B$11,0)</f>
        <v>13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134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2.2023000000510367</v>
      </c>
      <c r="F21" s="34">
        <f ca="1">$B$2*EXP($B$3*Tabela135[[#This Row],[Mod Final]])/EXP($B$3)</f>
        <v>33.277619802744567</v>
      </c>
      <c r="G21">
        <f ca="1">ROUNDDOWN(F21 - (J21*CONFIG!$E$12 + CONFIG!$D$12*I21 + CONFIG!$C$12*H21)/CONFIG!$B$11,0)</f>
        <v>13</v>
      </c>
      <c r="H21">
        <f ca="1">ROUNDDOWN((F21- (I21*CONFIG!$D$12 + J21*CONFIG!$E$12))/CONFIG!$C$11,0)</f>
        <v>1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125</v>
      </c>
      <c r="B22" s="5">
        <v>2</v>
      </c>
      <c r="C22" s="34" t="s">
        <v>126</v>
      </c>
      <c r="D22" s="35">
        <f ca="1">IF(Tabela135[[#This Row],[Importa de]]="","",LOOKUP(Tabela135[[#This Row],[Importa de]],_xlfn.ANCHORARRAY(Relações!$A$2),Relações!$C$2:$C$53))</f>
        <v>1.05</v>
      </c>
      <c r="E22" s="35">
        <f ca="1">Tabela135[[#This Row],[Mod]]*IF(Tabela135[[#This Row],[Mod Importação]]="",1,Tabela135[[#This Row],[Mod Importação]])*$G$1</f>
        <v>2.3124150000535888</v>
      </c>
      <c r="F22" s="34">
        <f ca="1">$B$2*EXP($B$3*Tabela135[[#This Row],[Mod Final]])/EXP($B$3)</f>
        <v>37.151349382491546</v>
      </c>
      <c r="G22">
        <f ca="1">ROUNDDOWN(F22 - (J22*CONFIG!$E$12 + CONFIG!$D$12*I22 + CONFIG!$C$12*H22)/CONFIG!$B$11,0)</f>
        <v>17</v>
      </c>
      <c r="H22">
        <f ca="1">ROUNDDOWN((F22- (I22*CONFIG!$D$12 + J22*CONFIG!$E$12))/CONFIG!$C$11,0)</f>
        <v>1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119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1.5416100000357256</v>
      </c>
      <c r="F23" s="2">
        <f ca="1">$B$2*EXP($B$3*Tabela135[[#This Row],[Mod Final]])/EXP($B$3)</f>
        <v>17.187718585191178</v>
      </c>
      <c r="G23">
        <f ca="1">ROUNDDOWN(F23 - (J23*CONFIG!$E$12 + CONFIG!$D$12*I23 + CONFIG!$C$12*H23)/CONFIG!$B$11,0)</f>
        <v>17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116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1.1011500000255183</v>
      </c>
      <c r="F24" s="2">
        <f ca="1">$B$2*EXP($B$3*Tabela135[[#This Row],[Mod Final]])/EXP($B$3)</f>
        <v>11.064425957341571</v>
      </c>
      <c r="G24">
        <f ca="1">ROUNDDOWN(F24 - (J24*CONFIG!$E$12 + CONFIG!$D$12*I24 + CONFIG!$C$12*H24)/CONFIG!$B$11,0)</f>
        <v>11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124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4.4046000001020733</v>
      </c>
      <c r="F25" s="34">
        <f ca="1">$B$2*EXP($B$3*Tabela135[[#This Row],[Mod Final]])/EXP($B$3)</f>
        <v>301.02252417523312</v>
      </c>
      <c r="G25">
        <f ca="1">ROUNDDOWN(F25 - (J25*CONFIG!$E$12 + CONFIG!$D$12*I25 + CONFIG!$C$12*H25)/CONFIG!$B$11,0)</f>
        <v>1</v>
      </c>
      <c r="H25">
        <f ca="1">ROUNDDOWN((F25- (I25*CONFIG!$D$12 + J25*CONFIG!$E$12))/CONFIG!$C$11,0)</f>
        <v>15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120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1.982070000045933</v>
      </c>
      <c r="F26" s="2">
        <f ca="1">$B$2*EXP($B$3*Tabela135[[#This Row],[Mod Final]])/EXP($B$3)</f>
        <v>26.699773788780064</v>
      </c>
      <c r="G26">
        <f ca="1">ROUNDDOWN(F26 - (J26*CONFIG!$E$12 + CONFIG!$D$12*I26 + CONFIG!$C$12*H26)/CONFIG!$B$11,0)</f>
        <v>6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132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2.4225300000561405</v>
      </c>
      <c r="F27" s="34">
        <f ca="1">$B$2*EXP($B$3*Tabela135[[#This Row],[Mod Final]])/EXP($B$3)</f>
        <v>41.476006070185356</v>
      </c>
      <c r="G27">
        <f ca="1">ROUNDDOWN(F27 - (J27*CONFIG!$E$12 + CONFIG!$D$12*I27 + CONFIG!$C$12*H27)/CONFIG!$B$11,0)</f>
        <v>1</v>
      </c>
      <c r="H27">
        <f ca="1">ROUNDDOWN((F27- (I27*CONFIG!$D$12 + J27*CONFIG!$E$12))/CONFIG!$C$11,0)</f>
        <v>2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133</v>
      </c>
      <c r="B28" s="5">
        <v>4</v>
      </c>
      <c r="C28" s="34" t="s">
        <v>114</v>
      </c>
      <c r="D28" s="35">
        <f ca="1">IF(Tabela135[[#This Row],[Importa de]]="","",LOOKUP(Tabela135[[#This Row],[Importa de]],_xlfn.ANCHORARRAY(Relações!$A$2),Relações!$C$2:$C$53))</f>
        <v>1.05</v>
      </c>
      <c r="E28" s="35">
        <f ca="1">Tabela135[[#This Row],[Mod]]*IF(Tabela135[[#This Row],[Mod Importação]]="",1,Tabela135[[#This Row],[Mod Importação]])*$G$1</f>
        <v>4.6248300001071776</v>
      </c>
      <c r="F28" s="34">
        <f ca="1">$B$2*EXP($B$3*Tabela135[[#This Row],[Mod Final]])/EXP($B$3)</f>
        <v>375.18344502886515</v>
      </c>
      <c r="G28">
        <f ca="1">ROUNDDOWN(F28 - (J28*CONFIG!$E$12 + CONFIG!$D$12*I28 + CONFIG!$C$12*H28)/CONFIG!$B$11,0)</f>
        <v>15</v>
      </c>
      <c r="H28">
        <f ca="1">ROUNDDOWN((F28- (I28*CONFIG!$D$12 + J28*CONFIG!$E$12))/CONFIG!$C$11,0)</f>
        <v>18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118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1.5416100000357256</v>
      </c>
      <c r="F29" s="2">
        <f ca="1">$B$2*EXP($B$3*Tabela135[[#This Row],[Mod Final]])/EXP($B$3)</f>
        <v>17.187718585191178</v>
      </c>
      <c r="G29">
        <f ca="1">ROUNDDOWN(F29 - (J29*CONFIG!$E$12 + CONFIG!$D$12*I29 + CONFIG!$C$12*H29)/CONFIG!$B$11,0)</f>
        <v>17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130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3.303450000076555</v>
      </c>
      <c r="F30" s="34">
        <f ca="1">$B$2*EXP($B$3*Tabela135[[#This Row],[Mod Final]])/EXP($B$3)</f>
        <v>100.08652812224979</v>
      </c>
      <c r="G30">
        <f ca="1">ROUNDDOWN(F30 - (J30*CONFIG!$E$12 + CONFIG!$D$12*I30 + CONFIG!$C$12*H30)/CONFIG!$B$11,0)</f>
        <v>0</v>
      </c>
      <c r="H30">
        <f ca="1">ROUNDDOWN((F30- (I30*CONFIG!$D$12 + J30*CONFIG!$E$12))/CONFIG!$C$11,0)</f>
        <v>5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136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1.1011500000255183</v>
      </c>
      <c r="F31" s="34">
        <f ca="1">$B$2*EXP($B$3*Tabela135[[#This Row],[Mod Final]])/EXP($B$3)</f>
        <v>11.064425957341571</v>
      </c>
      <c r="G31">
        <f ca="1">ROUNDDOWN(F31 - (J31*CONFIG!$E$12 + CONFIG!$D$12*I31 + CONFIG!$C$12*H31)/CONFIG!$B$11,0)</f>
        <v>11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128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5.5057500001275912</v>
      </c>
      <c r="F32" s="34">
        <f ca="1">$B$2*EXP($B$3*Tabela135[[#This Row],[Mod Final]])/EXP($B$3)</f>
        <v>905.36220769041415</v>
      </c>
      <c r="G32">
        <f ca="1">ROUNDDOWN(F32 - (J32*CONFIG!$E$12 + CONFIG!$D$12*I32 + CONFIG!$C$12*H32)/CONFIG!$B$11,0)</f>
        <v>5</v>
      </c>
      <c r="H32">
        <f ca="1">ROUNDDOWN((F32- (I32*CONFIG!$D$12 + J32*CONFIG!$E$12))/CONFIG!$C$11,0)</f>
        <v>5</v>
      </c>
      <c r="I32">
        <f ca="1">ROUNDDOWN((F32 - J32*CONFIG!$E$12)/CONFIG!$D$12,0)</f>
        <v>2</v>
      </c>
      <c r="J32">
        <f ca="1">ROUNDDOWN(F32/CONFIG!$E$12,0)</f>
        <v>0</v>
      </c>
    </row>
    <row r="33" spans="1:10" x14ac:dyDescent="0.3">
      <c r="A33" t="s">
        <v>129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6.60690000015311</v>
      </c>
      <c r="F33" s="34">
        <f ca="1">$B$2*EXP($B$3*Tabela135[[#This Row],[Mod Final]])/EXP($B$3)</f>
        <v>2722.9880201154106</v>
      </c>
      <c r="G33">
        <f ca="1">ROUNDDOWN(F33 - (J33*CONFIG!$E$12 + CONFIG!$D$12*I33 + CONFIG!$C$12*H33)/CONFIG!$B$11,0)</f>
        <v>2</v>
      </c>
      <c r="H33">
        <f ca="1">ROUNDDOWN((F33- (I33*CONFIG!$D$12 + J33*CONFIG!$E$12))/CONFIG!$C$11,0)</f>
        <v>16</v>
      </c>
      <c r="I33">
        <f ca="1">ROUNDDOWN((F33 - J33*CONFIG!$E$12)/CONFIG!$D$12,0)</f>
        <v>6</v>
      </c>
      <c r="J33">
        <f ca="1">ROUNDDOWN(F33/CONFIG!$E$12,0)</f>
        <v>0</v>
      </c>
    </row>
    <row r="34" spans="1:10" x14ac:dyDescent="0.3">
      <c r="A34" t="s">
        <v>122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2.2023000000510367</v>
      </c>
      <c r="F34" s="2">
        <f ca="1">$B$2*EXP($B$3*Tabela135[[#This Row],[Mod Final]])/EXP($B$3)</f>
        <v>33.277619802744567</v>
      </c>
      <c r="G34">
        <f ca="1">ROUNDDOWN(F34 - (J34*CONFIG!$E$12 + CONFIG!$D$12*I34 + CONFIG!$C$12*H34)/CONFIG!$B$11,0)</f>
        <v>13</v>
      </c>
      <c r="H34">
        <f ca="1">ROUNDDOWN((F34- (I34*CONFIG!$D$12 + J34*CONFIG!$E$12))/CONFIG!$C$11,0)</f>
        <v>1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121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1.7618400000408294</v>
      </c>
      <c r="F35" s="2">
        <f ca="1">$B$2*EXP($B$3*Tabela135[[#This Row],[Mod Final]])/EXP($B$3)</f>
        <v>21.422142707250728</v>
      </c>
      <c r="G35">
        <f ca="1">ROUNDDOWN(F35 - (J35*CONFIG!$E$12 + CONFIG!$D$12*I35 + CONFIG!$C$12*H35)/CONFIG!$B$11,0)</f>
        <v>1</v>
      </c>
      <c r="H35">
        <f ca="1">ROUNDDOWN((F35- (I35*CONFIG!$D$12 + J35*CONFIG!$E$12))/CONFIG!$C$11,0)</f>
        <v>1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117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1.3213800000306219</v>
      </c>
      <c r="F36" s="2">
        <f ca="1">$B$2*EXP($B$3*Tabela135[[#This Row],[Mod Final]])/EXP($B$3)</f>
        <v>13.79029512597433</v>
      </c>
      <c r="G36">
        <f ca="1">ROUNDDOWN(F36 - (J36*CONFIG!$E$12 + CONFIG!$D$12*I36 + CONFIG!$C$12*H36)/CONFIG!$B$11,0)</f>
        <v>13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149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1.1011500000255183</v>
      </c>
      <c r="F37" s="34">
        <f ca="1">$B$2*EXP($B$3*Tabela135[[#This Row],[Mod Final]])/EXP($B$3)</f>
        <v>11.064425957341571</v>
      </c>
      <c r="G37">
        <f ca="1">ROUNDDOWN(F37 - (J37*CONFIG!$E$12 + CONFIG!$D$12*I37 + CONFIG!$C$12*H37)/CONFIG!$B$11,0)</f>
        <v>11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150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0.11011500000255184</v>
      </c>
      <c r="F38" s="34">
        <f ca="1">$B$2*EXP($B$3*Tabela135[[#This Row],[Mod Final]])/EXP($B$3)</f>
        <v>4.1070298088052537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151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2.2023000000510367</v>
      </c>
      <c r="F39" s="34">
        <f ca="1">$B$2*EXP($B$3*Tabela135[[#This Row],[Mod Final]])/EXP($B$3)</f>
        <v>33.277619802744567</v>
      </c>
      <c r="G39">
        <f ca="1">ROUNDDOWN(F39 - (J39*CONFIG!$E$12 + CONFIG!$D$12*I39 + CONFIG!$C$12*H39)/CONFIG!$B$11,0)</f>
        <v>13</v>
      </c>
      <c r="H39">
        <f ca="1">ROUNDDOWN((F39- (I39*CONFIG!$D$12 + J39*CONFIG!$E$12))/CONFIG!$C$11,0)</f>
        <v>1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D22" sqref="D2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1.1011500000255183</v>
      </c>
    </row>
    <row r="2" spans="1:12" x14ac:dyDescent="0.3">
      <c r="A2" t="s">
        <v>112</v>
      </c>
      <c r="B2" s="6">
        <v>600</v>
      </c>
      <c r="C2"/>
    </row>
    <row r="3" spans="1:12" x14ac:dyDescent="0.3">
      <c r="A3" t="s">
        <v>106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1.1011500000255183</v>
      </c>
      <c r="F5" s="2">
        <f ca="1">$B$2*EXP($B$3*Tabela13[[#This Row],[Mod Final]])/EXP($B$3)</f>
        <v>734.52913059296372</v>
      </c>
      <c r="G5">
        <f ca="1">ROUNDDOWN(F5 - (J5*CONFIG!$E$12 + CONFIG!$D$12*I5 + CONFIG!$C$12*H5)/CONFIG!$B$11,0)</f>
        <v>14</v>
      </c>
      <c r="H5">
        <f ca="1">ROUNDDOWN((F5- (I5*CONFIG!$D$12 + J5*CONFIG!$E$12))/CONFIG!$C$11,0)</f>
        <v>16</v>
      </c>
      <c r="I5">
        <f ca="1">ROUNDDOWN((F5 - J5*CONFIG!$E$12)/CONFIG!$D$12,0)</f>
        <v>1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1.1011500000255183</v>
      </c>
      <c r="F6" s="2">
        <f ca="1">$B$2*EXP($B$3*Tabela13[[#This Row],[Mod Final]])/EXP($B$3)</f>
        <v>734.52913059296372</v>
      </c>
      <c r="G6">
        <f ca="1">ROUNDDOWN(F6 - (J6*CONFIG!$E$12 + CONFIG!$D$12*I6 + CONFIG!$C$12*H6)/CONFIG!$B$11,0)</f>
        <v>14</v>
      </c>
      <c r="H6">
        <f ca="1">ROUNDDOWN((F6- (I6*CONFIG!$D$12 + J6*CONFIG!$E$12))/CONFIG!$C$11,0)</f>
        <v>16</v>
      </c>
      <c r="I6">
        <f ca="1">ROUNDDOWN((F6 - J6*CONFIG!$E$12)/CONFIG!$D$12,0)</f>
        <v>1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1.3764375000318978</v>
      </c>
      <c r="F7" s="2">
        <f ca="1">$B$2*EXP($B$3*Tabela13[[#This Row],[Mod Final]])/EXP($B$3)</f>
        <v>1273.857089610394</v>
      </c>
      <c r="G7">
        <f ca="1">ROUNDDOWN(F7 - (J7*CONFIG!$E$12 + CONFIG!$D$12*I7 + CONFIG!$C$12*H7)/CONFIG!$B$11,0)</f>
        <v>13</v>
      </c>
      <c r="H7">
        <f ca="1">ROUNDDOWN((F7- (I7*CONFIG!$D$12 + J7*CONFIG!$E$12))/CONFIG!$C$11,0)</f>
        <v>3</v>
      </c>
      <c r="I7">
        <f ca="1">ROUNDDOWN((F7 - J7*CONFIG!$E$12)/CONFIG!$D$12,0)</f>
        <v>3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1.6517250000382775</v>
      </c>
      <c r="F8" s="2">
        <f ca="1">$B$2*EXP($B$3*Tabela13[[#This Row],[Mod Final]])/EXP($B$3)</f>
        <v>2209.1865620641856</v>
      </c>
      <c r="G8">
        <f ca="1">ROUNDDOWN(F8 - (J8*CONFIG!$E$12 + CONFIG!$D$12*I8 + CONFIG!$C$12*H8)/CONFIG!$B$11,0)</f>
        <v>9</v>
      </c>
      <c r="H8">
        <f ca="1">ROUNDDOWN((F8- (I8*CONFIG!$D$12 + J8*CONFIG!$E$12))/CONFIG!$C$11,0)</f>
        <v>10</v>
      </c>
      <c r="I8">
        <f ca="1">ROUNDDOWN((F8 - J8*CONFIG!$E$12)/CONFIG!$D$12,0)</f>
        <v>5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 t="s">
        <v>114</v>
      </c>
      <c r="D9" s="11">
        <f ca="1">IF(Tabela13[[#This Row],[Importa de]]="","",LOOKUP(Tabela13[[#This Row],[Importa de]],_xlfn.ANCHORARRAY(Relações!$A$2),Relações!$C$2:$C$53))</f>
        <v>1.05</v>
      </c>
      <c r="E9" s="11">
        <f ca="1">Tabela13[[#This Row],[Mod]]*IF(Tabela13[[#This Row],[Mod Importação]]="",1,Tabela13[[#This Row],[Mod Importação]])*$G$1</f>
        <v>2.3124150000535888</v>
      </c>
      <c r="F9" s="2">
        <f ca="1">$B$2*EXP($B$3*Tabela13[[#This Row],[Mod Final]])/EXP($B$3)</f>
        <v>8281.3365656397273</v>
      </c>
      <c r="G9">
        <f ca="1">ROUNDDOWN(F9 - (J9*CONFIG!$E$12 + CONFIG!$D$12*I9 + CONFIG!$C$12*H9)/CONFIG!$B$11,0)</f>
        <v>1</v>
      </c>
      <c r="H9">
        <f ca="1">ROUNDDOWN((F9- (I9*CONFIG!$D$12 + J9*CONFIG!$E$12))/CONFIG!$C$11,0)</f>
        <v>14</v>
      </c>
      <c r="I9">
        <f ca="1">ROUNDDOWN((F9 - J9*CONFIG!$E$12)/CONFIG!$D$12,0)</f>
        <v>20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3.8540250000893144</v>
      </c>
      <c r="F10" s="2">
        <f ca="1">$B$2*EXP($B$3*Tabela13[[#This Row],[Mod Final]])/EXP($B$3)</f>
        <v>180769.79598777054</v>
      </c>
      <c r="G10">
        <f ca="1">ROUNDDOWN(F10 - (J10*CONFIG!$E$12 + CONFIG!$D$12*I10 + CONFIG!$C$12*H10)/CONFIG!$B$11,0)</f>
        <v>9</v>
      </c>
      <c r="H10">
        <f ca="1">ROUNDDOWN((F10- (I10*CONFIG!$D$12 + J10*CONFIG!$E$12))/CONFIG!$C$11,0)</f>
        <v>18</v>
      </c>
      <c r="I10">
        <f ca="1">ROUNDDOWN((F10 - J10*CONFIG!$E$12)/CONFIG!$D$12,0)</f>
        <v>51</v>
      </c>
      <c r="J10">
        <f ca="1">ROUNDDOWN(F10/CONFIG!$E$12,0)</f>
        <v>1</v>
      </c>
    </row>
    <row r="11" spans="1:12" x14ac:dyDescent="0.3">
      <c r="A11" t="s">
        <v>6</v>
      </c>
      <c r="B11" s="5">
        <v>4.5</v>
      </c>
      <c r="C11" s="11" t="s">
        <v>113</v>
      </c>
      <c r="D11" s="11">
        <f ca="1">IF(Tabela13[[#This Row],[Importa de]]="","",LOOKUP(Tabela13[[#This Row],[Importa de]],_xlfn.ANCHORARRAY(Relações!$A$2),Relações!$C$2:$C$53))</f>
        <v>1.05</v>
      </c>
      <c r="E11" s="11">
        <f ca="1">Tabela13[[#This Row],[Mod]]*IF(Tabela13[[#This Row],[Mod Importação]]="",1,Tabela13[[#This Row],[Mod Importação]])*$G$1</f>
        <v>5.2029337501205744</v>
      </c>
      <c r="F11" s="2">
        <f ca="1">$B$2*EXP($B$3*Tabela13[[#This Row],[Mod Final]])/EXP($B$3)</f>
        <v>2683941.968208917</v>
      </c>
      <c r="G11">
        <f ca="1">ROUNDDOWN(F11 - (J11*CONFIG!$E$12 + CONFIG!$D$12*I11 + CONFIG!$C$12*H11)/CONFIG!$B$11,0)</f>
        <v>1</v>
      </c>
      <c r="H11">
        <f ca="1">ROUNDDOWN((F11- (I11*CONFIG!$D$12 + J11*CONFIG!$E$12))/CONFIG!$C$11,0)</f>
        <v>17</v>
      </c>
      <c r="I11">
        <f ca="1">ROUNDDOWN((F11 - J11*CONFIG!$E$12)/CONFIG!$D$12,0)</f>
        <v>309</v>
      </c>
      <c r="J11">
        <f ca="1">ROUNDDOWN(F11/CONFIG!$E$12,0)</f>
        <v>16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1.1011500000255183</v>
      </c>
    </row>
    <row r="2" spans="1:12" x14ac:dyDescent="0.3">
      <c r="A2" t="s">
        <v>112</v>
      </c>
      <c r="B2" s="6">
        <v>2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164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4.4046000001020733</v>
      </c>
      <c r="F5" s="2">
        <f ca="1">$B$2*EXP($B$3*Tabela136[[#This Row],[Mod Final]])/EXP($B$3)</f>
        <v>60.204504835046627</v>
      </c>
      <c r="G5">
        <f ca="1">ROUNDDOWN(F5 - (J5*CONFIG!$E$12 + CONFIG!$D$12*I5 + CONFIG!$C$12*H5)/CONFIG!$B$11,0)</f>
        <v>0</v>
      </c>
      <c r="H5">
        <f ca="1">ROUNDDOWN((F5- (I5*CONFIG!$D$12 + J5*CONFIG!$E$12))/CONFIG!$C$11,0)</f>
        <v>3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162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3.303450000076555</v>
      </c>
      <c r="F6" s="2">
        <f ca="1">$B$2*EXP($B$3*Tabela136[[#This Row],[Mod Final]])/EXP($B$3)</f>
        <v>20.017305624449953</v>
      </c>
      <c r="G6">
        <f ca="1">ROUNDDOWN(F6 - (J6*CONFIG!$E$12 + CONFIG!$D$12*I6 + CONFIG!$C$12*H6)/CONFIG!$B$11,0)</f>
        <v>0</v>
      </c>
      <c r="H6">
        <f ca="1">ROUNDDOWN((F6- (I6*CONFIG!$D$12 + J6*CONFIG!$E$12))/CONFIG!$C$11,0)</f>
        <v>1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163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5.5057500001275912</v>
      </c>
      <c r="F7" s="2">
        <f ca="1">$B$2*EXP($B$3*Tabela136[[#This Row],[Mod Final]])/EXP($B$3)</f>
        <v>181.07244153808284</v>
      </c>
      <c r="G7">
        <f ca="1">ROUNDDOWN(F7 - (J7*CONFIG!$E$12 + CONFIG!$D$12*I7 + CONFIG!$C$12*H7)/CONFIG!$B$11,0)</f>
        <v>1</v>
      </c>
      <c r="H7">
        <f ca="1">ROUNDDOWN((F7- (I7*CONFIG!$D$12 + J7*CONFIG!$E$12))/CONFIG!$C$11,0)</f>
        <v>9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161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3.0281625000701755</v>
      </c>
      <c r="F8" s="2">
        <f ca="1">$B$2*EXP($B$3*Tabela136[[#This Row],[Mod Final]])/EXP($B$3)</f>
        <v>15.200216643767815</v>
      </c>
      <c r="G8">
        <f ca="1">ROUNDDOWN(F8 - (J8*CONFIG!$E$12 + CONFIG!$D$12*I8 + CONFIG!$C$12*H8)/CONFIG!$B$11,0)</f>
        <v>15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159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2.2023000000510367</v>
      </c>
      <c r="F9" s="2">
        <f ca="1">$B$2*EXP($B$3*Tabela136[[#This Row],[Mod Final]])/EXP($B$3)</f>
        <v>6.6555239605489138</v>
      </c>
      <c r="G9">
        <f ca="1">ROUNDDOWN(F9 - (J9*CONFIG!$E$12 + CONFIG!$D$12*I9 + CONFIG!$C$12*H9)/CONFIG!$B$11,0)</f>
        <v>6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160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3.8540250000893144</v>
      </c>
      <c r="F10" s="2">
        <f ca="1">$B$2*EXP($B$3*Tabela136[[#This Row],[Mod Final]])/EXP($B$3)</f>
        <v>34.715010777065935</v>
      </c>
      <c r="G10">
        <f ca="1">ROUNDDOWN(F10 - (J10*CONFIG!$E$12 + CONFIG!$D$12*I10 + CONFIG!$C$12*H10)/CONFIG!$B$11,0)</f>
        <v>14</v>
      </c>
      <c r="H10">
        <f ca="1">ROUNDDOWN((F10- (I10*CONFIG!$D$12 + J10*CONFIG!$E$12))/CONFIG!$C$11,0)</f>
        <v>1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158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1.1011500000255183</v>
      </c>
      <c r="F11" s="2">
        <f ca="1">$B$2*EXP($B$3*Tabela136[[#This Row],[Mod Final]])/EXP($B$3)</f>
        <v>2.2128851914683141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165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5.8360950001352467</v>
      </c>
      <c r="F12" s="34">
        <f ca="1">$B$2*EXP($B$3*Tabela136[[#This Row],[Mod Final]])/EXP($B$3)</f>
        <v>251.9529038837394</v>
      </c>
      <c r="G12">
        <f ca="1">ROUNDDOWN(F12 - (J12*CONFIG!$E$12 + CONFIG!$D$12*I12 + CONFIG!$C$12*H12)/CONFIG!$B$11,0)</f>
        <v>11</v>
      </c>
      <c r="H12">
        <f ca="1">ROUNDDOWN((F12- (I12*CONFIG!$D$12 + J12*CONFIG!$E$12))/CONFIG!$C$11,0)</f>
        <v>12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109</v>
      </c>
      <c r="G1" s="14">
        <f ca="1">CONFIG!D4</f>
        <v>1.1011500000255183</v>
      </c>
    </row>
    <row r="2" spans="1:8" x14ac:dyDescent="0.3">
      <c r="A2" t="s">
        <v>112</v>
      </c>
      <c r="B2" s="2">
        <v>4000</v>
      </c>
    </row>
    <row r="3" spans="1:8" x14ac:dyDescent="0.3">
      <c r="A3" t="s">
        <v>106</v>
      </c>
      <c r="B3" s="5">
        <v>3</v>
      </c>
    </row>
    <row r="4" spans="1:8" x14ac:dyDescent="0.3">
      <c r="A4" s="27" t="s">
        <v>115</v>
      </c>
      <c r="B4" s="28" t="s">
        <v>14</v>
      </c>
      <c r="C4" s="28" t="s">
        <v>108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2.2023000000510367E-2</v>
      </c>
      <c r="D5" s="2">
        <f ca="1">$B$2*EXP($B$3*Tabela3[[#This Row],[Mod Final]])/EXP($B$3)</f>
        <v>212.75018565638453</v>
      </c>
      <c r="E5">
        <f ca="1">ROUNDDOWN(D5 - (H5*CONFIG!$E$12 + CONFIG!$D$12*G5 + CONFIG!$C$12*F5)/CONFIG!$B$11,0)</f>
        <v>12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1.1011500000255183</v>
      </c>
      <c r="D6" s="2">
        <f ca="1">$B$2*EXP($B$3*Tabela3[[#This Row],[Mod Final]])/EXP($B$3)</f>
        <v>5418.0954526375499</v>
      </c>
      <c r="E6">
        <f ca="1">ROUNDDOWN(D6 - (H6*CONFIG!$E$12 + CONFIG!$D$12*G6 + CONFIG!$C$12*F6)/CONFIG!$B$11,0)</f>
        <v>18</v>
      </c>
      <c r="F6">
        <f ca="1">ROUNDDOWN((D6- (G6*CONFIG!$D$12 + H6*CONFIG!$E$12))/CONFIG!$C$11,0)</f>
        <v>10</v>
      </c>
      <c r="G6">
        <f ca="1">ROUNDDOWN((D6 - H6*CONFIG!$E$12)/CONFIG!$D$12,0)</f>
        <v>13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1.3213800000306219</v>
      </c>
      <c r="D7" s="2">
        <f ca="1">$B$2*EXP($B$3*Tabela3[[#This Row],[Mod Final]])/EXP($B$3)</f>
        <v>10490.125238796842</v>
      </c>
      <c r="E7">
        <f ca="1">ROUNDDOWN(D7 - (H7*CONFIG!$E$12 + CONFIG!$D$12*G7 + CONFIG!$C$12*F7)/CONFIG!$B$11,0)</f>
        <v>10</v>
      </c>
      <c r="F7">
        <f ca="1">ROUNDDOWN((D7- (G7*CONFIG!$D$12 + H7*CONFIG!$E$12))/CONFIG!$C$11,0)</f>
        <v>4</v>
      </c>
      <c r="G7">
        <f ca="1">ROUNDDOWN((D7 - H7*CONFIG!$E$12)/CONFIG!$D$12,0)</f>
        <v>26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1.982070000045933</v>
      </c>
      <c r="D8" s="2">
        <f ca="1">$B$2*EXP($B$3*Tabela3[[#This Row],[Mod Final]])/EXP($B$3)</f>
        <v>76134.716851796315</v>
      </c>
      <c r="E8">
        <f ca="1">ROUNDDOWN(D8 - (H8*CONFIG!$E$12 + CONFIG!$D$12*G8 + CONFIG!$C$12*F8)/CONFIG!$B$11,0)</f>
        <v>14</v>
      </c>
      <c r="F8">
        <f ca="1">ROUNDDOWN((D8- (G8*CONFIG!$D$12 + H8*CONFIG!$E$12))/CONFIG!$C$11,0)</f>
        <v>6</v>
      </c>
      <c r="G8">
        <f ca="1">ROUNDDOWN((D8 - H8*CONFIG!$E$12)/CONFIG!$D$12,0)</f>
        <v>190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1.3213800000306219</v>
      </c>
      <c r="D9" s="2">
        <f ca="1">$B$2*EXP($B$3*Tabela3[[#This Row],[Mod Final]])/EXP($B$3)</f>
        <v>10490.125238796842</v>
      </c>
      <c r="E9">
        <f ca="1">ROUNDDOWN(D9 - (H9*CONFIG!$E$12 + CONFIG!$D$12*G9 + CONFIG!$C$12*F9)/CONFIG!$B$11,0)</f>
        <v>10</v>
      </c>
      <c r="F9">
        <f ca="1">ROUNDDOWN((D9- (G9*CONFIG!$D$12 + H9*CONFIG!$E$12))/CONFIG!$C$11,0)</f>
        <v>4</v>
      </c>
      <c r="G9">
        <f ca="1">ROUNDDOWN((D9 - H9*CONFIG!$E$12)/CONFIG!$D$12,0)</f>
        <v>26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1.5416100000357256</v>
      </c>
      <c r="D10" s="2">
        <f ca="1">$B$2*EXP($B$3*Tabela3[[#This Row],[Mod Final]])/EXP($B$3)</f>
        <v>20310.22311946781</v>
      </c>
      <c r="E10">
        <f ca="1">ROUNDDOWN(D10 - (H10*CONFIG!$E$12 + CONFIG!$D$12*G10 + CONFIG!$C$12*F10)/CONFIG!$B$11,0)</f>
        <v>10</v>
      </c>
      <c r="F10">
        <f ca="1">ROUNDDOWN((D10- (G10*CONFIG!$D$12 + H10*CONFIG!$E$12))/CONFIG!$C$11,0)</f>
        <v>15</v>
      </c>
      <c r="G10">
        <f ca="1">ROUNDDOWN((D10 - H10*CONFIG!$E$12)/CONFIG!$D$12,0)</f>
        <v>50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2.3124150000535888</v>
      </c>
      <c r="D11" s="2">
        <f ca="1">$B$2*EXP($B$3*Tabela3[[#This Row],[Mod Final]])/EXP($B$3)</f>
        <v>205108.55206938944</v>
      </c>
      <c r="E11">
        <f ca="1">ROUNDDOWN(D11 - (H11*CONFIG!$E$12 + CONFIG!$D$12*G11 + CONFIG!$C$12*F11)/CONFIG!$B$11,0)</f>
        <v>8</v>
      </c>
      <c r="F11">
        <f ca="1">ROUNDDOWN((D11- (G11*CONFIG!$D$12 + H11*CONFIG!$E$12))/CONFIG!$C$11,0)</f>
        <v>15</v>
      </c>
      <c r="G11">
        <f ca="1">ROUNDDOWN((D11 - H11*CONFIG!$E$12)/CONFIG!$D$12,0)</f>
        <v>112</v>
      </c>
      <c r="H11">
        <f ca="1">ROUNDDOWN(D11/CONFIG!$E$12,0)</f>
        <v>1</v>
      </c>
    </row>
    <row r="12" spans="1:8" x14ac:dyDescent="0.3">
      <c r="A12" t="s">
        <v>22</v>
      </c>
      <c r="B12" s="5">
        <v>1.4</v>
      </c>
      <c r="C12" s="5">
        <f ca="1">Tabela3[[#This Row],[Mod]]*$G$1</f>
        <v>1.5416100000357256</v>
      </c>
      <c r="D12" s="2">
        <f ca="1">$B$2*EXP($B$3*Tabela3[[#This Row],[Mod Final]])/EXP($B$3)</f>
        <v>20310.22311946781</v>
      </c>
      <c r="E12">
        <f ca="1">ROUNDDOWN(D12 - (H12*CONFIG!$E$12 + CONFIG!$D$12*G12 + CONFIG!$C$12*F12)/CONFIG!$B$11,0)</f>
        <v>10</v>
      </c>
      <c r="F12">
        <f ca="1">ROUNDDOWN((D12- (G12*CONFIG!$D$12 + H12*CONFIG!$E$12))/CONFIG!$C$11,0)</f>
        <v>15</v>
      </c>
      <c r="G12">
        <f ca="1">ROUNDDOWN((D12 - H12*CONFIG!$E$12)/CONFIG!$D$12,0)</f>
        <v>50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1.7618400000408294</v>
      </c>
      <c r="D13" s="2">
        <f ca="1">$B$2*EXP($B$3*Tabela3[[#This Row],[Mod Final]])/EXP($B$3)</f>
        <v>39323.187642884346</v>
      </c>
      <c r="E13">
        <f ca="1">ROUNDDOWN(D13 - (H13*CONFIG!$E$12 + CONFIG!$D$12*G13 + CONFIG!$C$12*F13)/CONFIG!$B$11,0)</f>
        <v>3</v>
      </c>
      <c r="F13">
        <f ca="1">ROUNDDOWN((D13- (G13*CONFIG!$D$12 + H13*CONFIG!$E$12))/CONFIG!$C$11,0)</f>
        <v>6</v>
      </c>
      <c r="G13">
        <f ca="1">ROUNDDOWN((D13 - H13*CONFIG!$E$12)/CONFIG!$D$12,0)</f>
        <v>98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2.7528750000637956</v>
      </c>
      <c r="D14" s="2">
        <f ca="1">$B$2*EXP($B$3*Tabela3[[#This Row],[Mod Final]])/EXP($B$3)</f>
        <v>768868.04462116805</v>
      </c>
      <c r="E14">
        <f ca="1">ROUNDDOWN(D14 - (H14*CONFIG!$E$12 + CONFIG!$D$12*G14 + CONFIG!$C$12*F14)/CONFIG!$B$11,0)</f>
        <v>8</v>
      </c>
      <c r="F14">
        <f ca="1">ROUNDDOWN((D14- (G14*CONFIG!$D$12 + H14*CONFIG!$E$12))/CONFIG!$C$11,0)</f>
        <v>3</v>
      </c>
      <c r="G14">
        <f ca="1">ROUNDDOWN((D14 - H14*CONFIG!$E$12)/CONFIG!$D$12,0)</f>
        <v>322</v>
      </c>
      <c r="H14">
        <f ca="1">ROUNDDOWN(D14/CONFIG!$E$12,0)</f>
        <v>4</v>
      </c>
    </row>
    <row r="15" spans="1:8" x14ac:dyDescent="0.3">
      <c r="A15" t="s">
        <v>25</v>
      </c>
      <c r="B15" s="5">
        <v>4</v>
      </c>
      <c r="C15" s="5">
        <f ca="1">Tabela3[[#This Row],[Mod]]*$G$1</f>
        <v>4.4046000001020733</v>
      </c>
      <c r="D15" s="2">
        <f ca="1">$B$2*EXP($B$3*Tabela3[[#This Row],[Mod Final]])/EXP($B$3)</f>
        <v>109108094.3861558</v>
      </c>
      <c r="E15">
        <f ca="1">ROUNDDOWN(D15 - (H15*CONFIG!$E$12 + CONFIG!$D$12*G15 + CONFIG!$C$12*F15)/CONFIG!$B$11,0)</f>
        <v>14</v>
      </c>
      <c r="F15">
        <f ca="1">ROUNDDOWN((D15- (G15*CONFIG!$D$12 + H15*CONFIG!$E$12))/CONFIG!$C$11,0)</f>
        <v>4</v>
      </c>
      <c r="G15">
        <f ca="1">ROUNDDOWN((D15 - H15*CONFIG!$E$12)/CONFIG!$D$12,0)</f>
        <v>370</v>
      </c>
      <c r="H15">
        <f ca="1">ROUNDDOWN(D15/CONFIG!$E$12,0)</f>
        <v>681</v>
      </c>
    </row>
    <row r="16" spans="1:8" x14ac:dyDescent="0.3">
      <c r="A16" t="s">
        <v>26</v>
      </c>
      <c r="B16" s="5">
        <v>5</v>
      </c>
      <c r="C16" s="5">
        <f ca="1">Tabela3[[#This Row],[Mod]]*$G$1</f>
        <v>5.5057500001275912</v>
      </c>
      <c r="D16" s="2">
        <f ca="1">$B$2*EXP($B$3*Tabela3[[#This Row],[Mod Final]])/EXP($B$3)</f>
        <v>2968431810.805079</v>
      </c>
      <c r="E16">
        <f ca="1">ROUNDDOWN(D16 - (H16*CONFIG!$E$12 + CONFIG!$D$12*G16 + CONFIG!$C$12*F16)/CONFIG!$B$11,0)</f>
        <v>10</v>
      </c>
      <c r="F16">
        <f ca="1">ROUNDDOWN((D16- (G16*CONFIG!$D$12 + H16*CONFIG!$E$12))/CONFIG!$C$11,0)</f>
        <v>10</v>
      </c>
      <c r="G16">
        <f ca="1">ROUNDDOWN((D16 - H16*CONFIG!$E$12)/CONFIG!$D$12,0)</f>
        <v>279</v>
      </c>
      <c r="H16">
        <f ca="1">ROUNDDOWN(D16/CONFIG!$E$12,0)</f>
        <v>18552</v>
      </c>
    </row>
    <row r="17" spans="1:8" x14ac:dyDescent="0.3">
      <c r="A17" t="s">
        <v>27</v>
      </c>
      <c r="B17" s="5">
        <v>2.5</v>
      </c>
      <c r="C17" s="5">
        <f ca="1">Tabela3[[#This Row],[Mod]]*$G$1</f>
        <v>2.7528750000637956</v>
      </c>
      <c r="D17" s="2">
        <f ca="1">$B$2*EXP($B$3*Tabela3[[#This Row],[Mod Final]])/EXP($B$3)</f>
        <v>768868.04462116805</v>
      </c>
      <c r="E17">
        <f ca="1">ROUNDDOWN(D17 - (H17*CONFIG!$E$12 + CONFIG!$D$12*G17 + CONFIG!$C$12*F17)/CONFIG!$B$11,0)</f>
        <v>8</v>
      </c>
      <c r="F17">
        <f ca="1">ROUNDDOWN((D17- (G17*CONFIG!$D$12 + H17*CONFIG!$E$12))/CONFIG!$C$11,0)</f>
        <v>3</v>
      </c>
      <c r="G17">
        <f ca="1">ROUNDDOWN((D17 - H17*CONFIG!$E$12)/CONFIG!$D$12,0)</f>
        <v>322</v>
      </c>
      <c r="H17">
        <f ca="1">ROUNDDOWN(D17/CONFIG!$E$12,0)</f>
        <v>4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5.6158650001301433</v>
      </c>
      <c r="D18" s="2">
        <f ca="1">$B$2*EXP($B$3*Tabela3[[#This Row],[Mod Final]])/EXP($B$3)</f>
        <v>4130418789.0784578</v>
      </c>
      <c r="E18">
        <f ca="1">ROUNDDOWN(D18 - (H18*CONFIG!$E$12 + CONFIG!$D$12*G18 + CONFIG!$C$12*F18)/CONFIG!$B$11,0)</f>
        <v>9</v>
      </c>
      <c r="F18">
        <f ca="1">ROUNDDOWN((D18- (G18*CONFIG!$D$12 + H18*CONFIG!$E$12))/CONFIG!$C$11,0)</f>
        <v>19</v>
      </c>
      <c r="G18">
        <f ca="1">ROUNDDOWN((D18 - H18*CONFIG!$E$12)/CONFIG!$D$12,0)</f>
        <v>46</v>
      </c>
      <c r="H18">
        <f ca="1">ROUNDDOWN(D18/CONFIG!$E$12,0)</f>
        <v>25815</v>
      </c>
    </row>
    <row r="19" spans="1:8" x14ac:dyDescent="0.3">
      <c r="A19" t="s">
        <v>29</v>
      </c>
      <c r="B19" s="5">
        <v>5.5</v>
      </c>
      <c r="C19" s="5">
        <f ca="1">Tabela3[[#This Row],[Mod]]*$G$1</f>
        <v>6.056325000140351</v>
      </c>
      <c r="D19" s="2">
        <f ca="1">$B$2*EXP($B$3*Tabela3[[#This Row],[Mod Final]])/EXP($B$3)</f>
        <v>15483250141.373524</v>
      </c>
      <c r="E19">
        <f ca="1">ROUNDDOWN(D19 - (H19*CONFIG!$E$12 + CONFIG!$D$12*G19 + CONFIG!$C$12*F19)/CONFIG!$B$11,0)</f>
        <v>1</v>
      </c>
      <c r="F19">
        <f ca="1">ROUNDDOWN((D19- (G19*CONFIG!$D$12 + H19*CONFIG!$E$12))/CONFIG!$C$11,0)</f>
        <v>7</v>
      </c>
      <c r="G19">
        <f ca="1">ROUNDDOWN((D19 - H19*CONFIG!$E$12)/CONFIG!$D$12,0)</f>
        <v>125</v>
      </c>
      <c r="H19">
        <f ca="1">ROUNDDOWN(D19/CONFIG!$E$12,0)</f>
        <v>96770</v>
      </c>
    </row>
    <row r="20" spans="1:8" x14ac:dyDescent="0.3">
      <c r="A20" t="s">
        <v>30</v>
      </c>
      <c r="B20" s="5">
        <v>6</v>
      </c>
      <c r="C20" s="5">
        <f ca="1">Tabela3[[#This Row],[Mod]]*$G$1</f>
        <v>6.60690000015311</v>
      </c>
      <c r="D20" s="2">
        <f ca="1">$B$2*EXP($B$3*Tabela3[[#This Row],[Mod Final]])/EXP($B$3)</f>
        <v>80760162341.517303</v>
      </c>
      <c r="E20">
        <f ca="1">ROUNDDOWN(D20 - (H20*CONFIG!$E$12 + CONFIG!$D$12*G20 + CONFIG!$C$12*F20)/CONFIG!$B$11,0)</f>
        <v>1</v>
      </c>
      <c r="F20">
        <f ca="1">ROUNDDOWN((D20- (G20*CONFIG!$D$12 + H20*CONFIG!$E$12))/CONFIG!$C$11,0)</f>
        <v>17</v>
      </c>
      <c r="G20">
        <f ca="1">ROUNDDOWN((D20 - H20*CONFIG!$E$12)/CONFIG!$D$12,0)</f>
        <v>5</v>
      </c>
      <c r="H20">
        <f ca="1">ROUNDDOWN(D20/CONFIG!$E$12,0)</f>
        <v>504751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J16" sqref="J16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96</v>
      </c>
      <c r="B1" s="9" t="s">
        <v>98</v>
      </c>
      <c r="C1" s="1" t="s">
        <v>93</v>
      </c>
      <c r="D1" s="12" t="s">
        <v>97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[Controle.xlsm]Relações!$B$8</v>
      </c>
      <c r="C2" s="11" cm="1">
        <f t="array" aca="1" ref="C2" ca="1">IF(A2="","",Eval(B2))</f>
        <v>1.05</v>
      </c>
      <c r="D2" s="13" t="str">
        <f ca="1">"[Controle.xlsm]Relações!"&amp;ADDRESS(ROW(E2)+1,CONFIG!$B$3+1)</f>
        <v>[Controle.xlsm]Relações!$G$3</v>
      </c>
      <c r="E2" s="11" cm="1">
        <f t="array" aca="1" ref="E2" ca="1">IF(A2="","",Eval(D2))</f>
        <v>1.04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[Controle.xlsm]Relações!$C$8</v>
      </c>
      <c r="C3" s="11" cm="1">
        <f t="array" aca="1" ref="C3" ca="1">IF(A3="","",Eval(B3))</f>
        <v>1.07</v>
      </c>
      <c r="D3" s="13" t="str">
        <f ca="1">"[Controle.xlsm]Relações!"&amp;ADDRESS(ROW(E3)+1,CONFIG!$B$3+1)</f>
        <v>[Controle.xlsm]Relações!$G$4</v>
      </c>
      <c r="E3" s="11" cm="1">
        <f t="array" aca="1" ref="E3" ca="1">IF(A3="","",Eval(D3))</f>
        <v>1.05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[Controle.xlsm]Relações!$D$8</v>
      </c>
      <c r="C4" s="11" cm="1">
        <f t="array" aca="1" ref="C4" ca="1">IF(A4="","",Eval(B4))</f>
        <v>1.06</v>
      </c>
      <c r="D4" s="13" t="str">
        <f ca="1">"[Controle.xlsm]Relações!"&amp;ADDRESS(ROW(E4)+1,CONFIG!$B$3+1)</f>
        <v>[Controle.xlsm]Relações!$G$5</v>
      </c>
      <c r="E4" s="11" cm="1">
        <f t="array" aca="1" ref="E4" ca="1">IF(A4="","",Eval(D4))</f>
        <v>1.02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[Controle.xlsm]Relações!$E$8</v>
      </c>
      <c r="C5" s="11" cm="1">
        <f t="array" aca="1" ref="C5" ca="1">IF(A5="","",Eval(B5))</f>
        <v>1.4</v>
      </c>
      <c r="D5" s="13" t="str">
        <f ca="1">"[Controle.xlsm]Relações!"&amp;ADDRESS(ROW(E5)+1,CONFIG!$B$3+1)</f>
        <v>[Controle.xlsm]Relações!$G$6</v>
      </c>
      <c r="E5" s="11" cm="1">
        <f t="array" aca="1" ref="E5" ca="1">IF(A5="","",Eval(D5))</f>
        <v>1.35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[Controle.xlsm]Relações!$F$8</v>
      </c>
      <c r="C6" s="11" cm="1">
        <f t="array" aca="1" ref="C6" ca="1">IF(A6="","",Eval(B6))</f>
        <v>1.1000000000000001</v>
      </c>
      <c r="D6" s="13" t="str">
        <f ca="1">"[Controle.xlsm]Relações!"&amp;ADDRESS(ROW(E6)+1,CONFIG!$B$3+1)</f>
        <v>[Controle.xlsm]Relações!$G$7</v>
      </c>
      <c r="E6" s="11" cm="1">
        <f t="array" aca="1" ref="E6" ca="1">IF(A6="","",Eval(D6))</f>
        <v>1.05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[Controle.xlsm]Relações!$G$8</v>
      </c>
      <c r="C7" s="11" cm="1">
        <f t="array" aca="1" ref="C7" ca="1">IF(A7="","",Eval(B7))</f>
        <v>1</v>
      </c>
      <c r="D7" s="13" t="str">
        <f ca="1">"[Controle.xlsm]Relações!"&amp;ADDRESS(ROW(E7)+1,CONFIG!$B$3+1)</f>
        <v>[Controle.xlsm]Relações!$G$8</v>
      </c>
      <c r="E7" s="11" cm="1">
        <f t="array" aca="1" ref="E7" ca="1">IF(A7="","",Eval(D7))</f>
        <v>1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B5" sqref="B5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101</v>
      </c>
      <c r="B1" s="23" t="s">
        <v>104</v>
      </c>
      <c r="H1" s="8" t="s">
        <v>168</v>
      </c>
    </row>
    <row r="2" spans="1:8" x14ac:dyDescent="0.3">
      <c r="A2" s="20" t="s">
        <v>92</v>
      </c>
      <c r="B2" s="20">
        <f>[1]Controle!$A$28</f>
        <v>6</v>
      </c>
      <c r="C2" s="20" t="s">
        <v>109</v>
      </c>
      <c r="D2" s="20">
        <f ca="1">LOOKUP(B1,INDIRECT(D22&amp;"!Tabela1[Cidade]"),INDIRECT(D22&amp;"!Tabela1[Multi Geral]"))</f>
        <v>1.1000000000000001</v>
      </c>
      <c r="H2" s="8" t="s">
        <v>166</v>
      </c>
    </row>
    <row r="3" spans="1:8" x14ac:dyDescent="0.3">
      <c r="A3" s="20" t="s">
        <v>95</v>
      </c>
      <c r="B3" s="20">
        <f ca="1">MATCH(B1,INDIRECT(D22&amp;"!Tabela1[Cidade]"),0)</f>
        <v>6</v>
      </c>
      <c r="C3" s="20" t="s">
        <v>110</v>
      </c>
      <c r="D3" s="20">
        <f ca="1">LOOKUP(B1,INDIRECT(D22&amp;"!Tabela1[Cidade]"),INDIRECT(D22&amp;"!Tabela1[Mult Randômico]"))</f>
        <v>1.1500000255182385E-3</v>
      </c>
    </row>
    <row r="4" spans="1:8" x14ac:dyDescent="0.3">
      <c r="C4" s="20" t="s">
        <v>111</v>
      </c>
      <c r="D4" s="14">
        <f ca="1">D2+D3</f>
        <v>1.1011500000255183</v>
      </c>
    </row>
    <row r="6" spans="1:8" x14ac:dyDescent="0.3">
      <c r="A6" s="43" t="s">
        <v>99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100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102</v>
      </c>
      <c r="B16" s="21"/>
      <c r="C16" s="20" t="s">
        <v>152</v>
      </c>
      <c r="D16" s="41" t="s">
        <v>167</v>
      </c>
      <c r="E16" s="21"/>
    </row>
    <row r="17" spans="1:5" s="24" customFormat="1" x14ac:dyDescent="0.3">
      <c r="A17" s="32"/>
      <c r="B17" s="21"/>
      <c r="C17" s="20" t="s">
        <v>153</v>
      </c>
      <c r="D17" s="20" t="s">
        <v>154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156</v>
      </c>
      <c r="D18" s="14" t="s">
        <v>157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155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2021-11-23T00:46:46Z</dcterms:modified>
</cp:coreProperties>
</file>