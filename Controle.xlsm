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Users\Matheus\Documents\RPG\Taberna Maça Envenenada\Aventuras Prontas\Medieval\Novo Continente\Mercado v1.0.0.02\"/>
    </mc:Choice>
  </mc:AlternateContent>
  <xr:revisionPtr revIDLastSave="0" documentId="13_ncr:1_{0E8A1344-C70D-40D6-A506-CBE3465A90D2}" xr6:coauthVersionLast="47" xr6:coauthVersionMax="47" xr10:uidLastSave="{00000000-0000-0000-0000-000000000000}"/>
  <bookViews>
    <workbookView xWindow="-108" yWindow="-108" windowWidth="23256" windowHeight="12576" xr2:uid="{E1B689A3-CDDF-4613-98A3-03EB180E7A3D}"/>
  </bookViews>
  <sheets>
    <sheet name="Controle" sheetId="3" r:id="rId1"/>
    <sheet name="Relações" sheetId="4" r:id="rId2"/>
  </sheets>
  <definedNames>
    <definedName name="_xlcn.WorksheetConnection_Controle.xlsmTabela1" hidden="1">Tabela1[]</definedName>
    <definedName name="_xlcn.WorksheetConnection_Controle.xlsmTabela1Cidade" hidden="1">Tabela1[Cidade]</definedName>
    <definedName name="NomesCidades" localSheetId="0">Tabela1[Cidade]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1 Cidade" name="Tabela1 Cidade" connection="WorksheetConnection_Controle.xlsm!Tabela1[Cidade]"/>
          <x15:modelTable id="Tabela1" name="Tabela1" connection="WorksheetConnection_Controle.xlsm!Tabela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2" i="3" l="1"/>
  <c r="L7" i="3"/>
  <c r="M7" i="3" s="1"/>
  <c r="N7" i="3" s="1"/>
  <c r="O7" i="3" s="1"/>
  <c r="K7" i="3"/>
  <c r="A28" i="3" l="1"/>
  <c r="A3" i="4" l="1" a="1"/>
  <c r="A3" i="4" s="1"/>
  <c r="B2" i="4" s="1" a="1"/>
  <c r="B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tc={6B0E6E55-5A0A-46F4-BFC3-C82616914B7C}</author>
  </authors>
  <commentList>
    <comment ref="K3" authorId="0" shapeId="0" xr:uid="{6B0E6E55-5A0A-46F4-BFC3-C82616914B7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Por enquanto essa planilha aceita apenas um dinheiro padrão para todas as cidades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A159FD-D6E8-4B7A-86D0-002D900107A8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5830AC6-516D-467E-9040-9D3A9FBD630E}" name="WorksheetConnection_Controle.xlsm!Tabela1" type="102" refreshedVersion="7" minRefreshableVersion="5">
    <extLst>
      <ext xmlns:x15="http://schemas.microsoft.com/office/spreadsheetml/2010/11/main" uri="{DE250136-89BD-433C-8126-D09CA5730AF9}">
        <x15:connection id="Tabela1">
          <x15:rangePr sourceName="_xlcn.WorksheetConnection_Controle.xlsmTabela1"/>
        </x15:connection>
      </ext>
    </extLst>
  </connection>
  <connection id="3" xr16:uid="{AC999E46-E63A-43AC-B363-39F43200A78D}" name="WorksheetConnection_Controle.xlsm!Tabela1[Cidade]" type="102" refreshedVersion="7" minRefreshableVersion="5">
    <extLst>
      <ext xmlns:x15="http://schemas.microsoft.com/office/spreadsheetml/2010/11/main" uri="{DE250136-89BD-433C-8126-D09CA5730AF9}">
        <x15:connection id="Tabela1 Cidade" autoDelete="1">
          <x15:rangePr sourceName="_xlcn.WorksheetConnection_Controle.xlsmTabela1Cidade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<sst xmlns="http://schemas.openxmlformats.org/spreadsheetml/2006/main" count="32" uniqueCount="30">
  <si>
    <t>Cidade</t>
  </si>
  <si>
    <t>Planilha</t>
  </si>
  <si>
    <t>Nova Bretânia</t>
  </si>
  <si>
    <t>Multi Geral</t>
  </si>
  <si>
    <t>Mult Randômico</t>
  </si>
  <si>
    <t>Rand Max</t>
  </si>
  <si>
    <t>Rand Min</t>
  </si>
  <si>
    <t>Selecionar Cidade</t>
  </si>
  <si>
    <t>CONTROLE</t>
  </si>
  <si>
    <t>Faristéia</t>
  </si>
  <si>
    <t>Arkma</t>
  </si>
  <si>
    <t>Vila Lór</t>
  </si>
  <si>
    <t>Pasta de Cidades</t>
  </si>
  <si>
    <t>Andíl</t>
  </si>
  <si>
    <t>Nesmé</t>
  </si>
  <si>
    <t>Total de Cidades</t>
  </si>
  <si>
    <t>CONFIGURAÇÕES</t>
  </si>
  <si>
    <t>MOEDA (Universal)</t>
  </si>
  <si>
    <t>Quanto vale cada moeda?</t>
  </si>
  <si>
    <t>1 dinheiro</t>
  </si>
  <si>
    <t>PC</t>
  </si>
  <si>
    <t>PP</t>
  </si>
  <si>
    <t>PO</t>
  </si>
  <si>
    <t>Barra de Ouro</t>
  </si>
  <si>
    <t>PC = Peças de Cobre</t>
  </si>
  <si>
    <t>PP = Peças de Prata</t>
  </si>
  <si>
    <t>PO = Peças de Ouro</t>
  </si>
  <si>
    <t>Desenvolvida por Taberna da Maçã Envenenada</t>
  </si>
  <si>
    <t>D:\Users\Matheus\Documents\RPG\Taberna Maça Envenenada\Aventuras Prontas\Medieval\Novo Continente\Mercado v1.0.0.02\Cidades\</t>
  </si>
  <si>
    <t>v. 1.0.0.03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</si>
</sst>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DEFF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  <xf numFmtId="0" fontId="1" fillId="2" borderId="1" xfId="0" applyFont="1" applyFill="1" applyBorder="1"/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9" borderId="1" xfId="0" applyFill="1" applyBorder="1"/>
    <xf numFmtId="4" fontId="0" fillId="9" borderId="1" xfId="0" applyNumberFormat="1" applyFill="1" applyBorder="1"/>
    <xf numFmtId="0" fontId="0" fillId="10" borderId="1" xfId="0" applyFill="1" applyBorder="1"/>
    <xf numFmtId="4" fontId="0" fillId="10" borderId="1" xfId="0" applyNumberFormat="1" applyFill="1" applyBorder="1"/>
    <xf numFmtId="0" fontId="0" fillId="6" borderId="1" xfId="0" applyFill="1" applyBorder="1"/>
    <xf numFmtId="4" fontId="0" fillId="6" borderId="1" xfId="0" applyNumberFormat="1" applyFill="1" applyBorder="1"/>
    <xf numFmtId="0" fontId="1" fillId="5" borderId="1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2" fontId="0" fillId="12" borderId="1" xfId="0" applyNumberFormat="1" applyFill="1" applyBorder="1"/>
    <xf numFmtId="0" fontId="4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</cellXfs>
  <cellStyles count="1">
    <cellStyle name="Normal" xfId="0" builtinId="0"/>
  </cellStyles>
  <dxfs count="4"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DEFF3"/>
      <color rgb="FFE1E5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alcChain" Target="calcChain.xml"/><Relationship Id="rId4" Type="http://schemas.openxmlformats.org/officeDocument/2006/relationships/connections" Target="connections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linktr.ee/taberna.maca.envenenada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</xdr:colOff>
      <xdr:row>3</xdr:row>
      <xdr:rowOff>45720</xdr:rowOff>
    </xdr:from>
    <xdr:to>
      <xdr:col>1</xdr:col>
      <xdr:colOff>647700</xdr:colOff>
      <xdr:row>5</xdr:row>
      <xdr:rowOff>152400</xdr:rowOff>
    </xdr:to>
    <xdr:sp macro="[0]!RandomizarTodos" textlink="">
      <xdr:nvSpPr>
        <xdr:cNvPr id="4" name="Retângulo 3">
          <a:extLst>
            <a:ext uri="{FF2B5EF4-FFF2-40B4-BE49-F238E27FC236}">
              <a16:creationId xmlns:a16="http://schemas.microsoft.com/office/drawing/2014/main" id="{C9694697-4694-41BD-9169-850F7D27B2A1}"/>
            </a:ext>
          </a:extLst>
        </xdr:cNvPr>
        <xdr:cNvSpPr/>
      </xdr:nvSpPr>
      <xdr:spPr>
        <a:xfrm>
          <a:off x="91440" y="594360"/>
          <a:ext cx="1257300" cy="47244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RANDOMIZAR</a:t>
          </a:r>
          <a:r>
            <a:rPr lang="pt-BR" sz="1200" b="1" baseline="0"/>
            <a:t> TODOS</a:t>
          </a:r>
          <a:endParaRPr lang="pt-BR" sz="1200" b="1"/>
        </a:p>
      </xdr:txBody>
    </xdr:sp>
    <xdr:clientData/>
  </xdr:twoCellAnchor>
  <xdr:twoCellAnchor>
    <xdr:from>
      <xdr:col>0</xdr:col>
      <xdr:colOff>91440</xdr:colOff>
      <xdr:row>17</xdr:row>
      <xdr:rowOff>45720</xdr:rowOff>
    </xdr:from>
    <xdr:to>
      <xdr:col>1</xdr:col>
      <xdr:colOff>647700</xdr:colOff>
      <xdr:row>18</xdr:row>
      <xdr:rowOff>129540</xdr:rowOff>
    </xdr:to>
    <xdr:sp macro="[0]!RandomizarUm" textlink="">
      <xdr:nvSpPr>
        <xdr:cNvPr id="5" name="Retângulo 4">
          <a:extLst>
            <a:ext uri="{FF2B5EF4-FFF2-40B4-BE49-F238E27FC236}">
              <a16:creationId xmlns:a16="http://schemas.microsoft.com/office/drawing/2014/main" id="{8657BC28-4C84-43E4-A9F1-97CF5B2022E7}"/>
            </a:ext>
          </a:extLst>
        </xdr:cNvPr>
        <xdr:cNvSpPr/>
      </xdr:nvSpPr>
      <xdr:spPr>
        <a:xfrm>
          <a:off x="91440" y="3185160"/>
          <a:ext cx="1257300" cy="2667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RANDOMIZAR</a:t>
          </a:r>
          <a:r>
            <a:rPr lang="pt-BR" sz="1200" b="1" baseline="0"/>
            <a:t> </a:t>
          </a:r>
          <a:endParaRPr lang="pt-BR" sz="1200" b="1"/>
        </a:p>
      </xdr:txBody>
    </xdr:sp>
    <xdr:clientData/>
  </xdr:twoCellAnchor>
  <xdr:twoCellAnchor>
    <xdr:from>
      <xdr:col>0</xdr:col>
      <xdr:colOff>91440</xdr:colOff>
      <xdr:row>15</xdr:row>
      <xdr:rowOff>53340</xdr:rowOff>
    </xdr:from>
    <xdr:to>
      <xdr:col>1</xdr:col>
      <xdr:colOff>647700</xdr:colOff>
      <xdr:row>16</xdr:row>
      <xdr:rowOff>137160</xdr:rowOff>
    </xdr:to>
    <xdr:sp macro="[0]!AbrirPlanilha.AbrirPlanilha" textlink="">
      <xdr:nvSpPr>
        <xdr:cNvPr id="7" name="Retângulo 6">
          <a:extLst>
            <a:ext uri="{FF2B5EF4-FFF2-40B4-BE49-F238E27FC236}">
              <a16:creationId xmlns:a16="http://schemas.microsoft.com/office/drawing/2014/main" id="{B0D90F26-24E2-4A30-AAF9-E4E60E92727B}"/>
            </a:ext>
          </a:extLst>
        </xdr:cNvPr>
        <xdr:cNvSpPr/>
      </xdr:nvSpPr>
      <xdr:spPr>
        <a:xfrm>
          <a:off x="91440" y="2796540"/>
          <a:ext cx="1257300" cy="2667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ABRIR</a:t>
          </a:r>
          <a:r>
            <a:rPr lang="pt-BR" sz="1200" b="1" baseline="0"/>
            <a:t> </a:t>
          </a:r>
          <a:endParaRPr lang="pt-BR" sz="1200" b="1"/>
        </a:p>
      </xdr:txBody>
    </xdr:sp>
    <xdr:clientData/>
  </xdr:twoCellAnchor>
  <xdr:twoCellAnchor editAs="oneCell">
    <xdr:from>
      <xdr:col>16</xdr:col>
      <xdr:colOff>99060</xdr:colOff>
      <xdr:row>8</xdr:row>
      <xdr:rowOff>45720</xdr:rowOff>
    </xdr:from>
    <xdr:to>
      <xdr:col>17</xdr:col>
      <xdr:colOff>563880</xdr:colOff>
      <xdr:row>14</xdr:row>
      <xdr:rowOff>22860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E67805-49E6-4FA2-8AEC-703B9F979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2440" y="1508760"/>
          <a:ext cx="1074420" cy="1074420"/>
        </a:xfrm>
        <a:prstGeom prst="rect">
          <a:avLst/>
        </a:prstGeom>
      </xdr:spPr>
    </xdr:pic>
    <xdr:clientData/>
  </xdr:twoCellAnchor>
  <xdr:twoCellAnchor>
    <xdr:from>
      <xdr:col>2</xdr:col>
      <xdr:colOff>327660</xdr:colOff>
      <xdr:row>8</xdr:row>
      <xdr:rowOff>129540</xdr:rowOff>
    </xdr:from>
    <xdr:to>
      <xdr:col>3</xdr:col>
      <xdr:colOff>518160</xdr:colOff>
      <xdr:row>14</xdr:row>
      <xdr:rowOff>22860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91CFF234-CAD5-40DE-832F-C4A440141778}"/>
            </a:ext>
          </a:extLst>
        </xdr:cNvPr>
        <xdr:cNvSpPr/>
      </xdr:nvSpPr>
      <xdr:spPr>
        <a:xfrm>
          <a:off x="1729740" y="678180"/>
          <a:ext cx="891540" cy="990600"/>
        </a:xfrm>
        <a:prstGeom prst="rect">
          <a:avLst/>
        </a:prstGeom>
        <a:ln w="9525">
          <a:solidFill>
            <a:schemeClr val="bg2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ln>
                <a:noFill/>
              </a:ln>
            </a:rPr>
            <a:t>É</a:t>
          </a:r>
          <a:r>
            <a:rPr lang="pt-BR" sz="800" baseline="0">
              <a:ln>
                <a:noFill/>
              </a:ln>
            </a:rPr>
            <a:t> importante que as cidades estejam em ordem alfabética para o bom funcionamento da planilha</a:t>
          </a:r>
          <a:endParaRPr lang="pt-BR" sz="800">
            <a:ln>
              <a:noFill/>
            </a:ln>
          </a:endParaRPr>
        </a:p>
      </xdr:txBody>
    </xdr:sp>
    <xdr:clientData/>
  </xdr:twoCellAnchor>
  <xdr:twoCellAnchor>
    <xdr:from>
      <xdr:col>2</xdr:col>
      <xdr:colOff>327661</xdr:colOff>
      <xdr:row>6</xdr:row>
      <xdr:rowOff>9525</xdr:rowOff>
    </xdr:from>
    <xdr:to>
      <xdr:col>3</xdr:col>
      <xdr:colOff>527685</xdr:colOff>
      <xdr:row>8</xdr:row>
      <xdr:rowOff>142875</xdr:rowOff>
    </xdr:to>
    <xdr:sp macro="[0]!OrdenarCidades" textlink="">
      <xdr:nvSpPr>
        <xdr:cNvPr id="6" name="Retângulo 5">
          <a:extLst>
            <a:ext uri="{FF2B5EF4-FFF2-40B4-BE49-F238E27FC236}">
              <a16:creationId xmlns:a16="http://schemas.microsoft.com/office/drawing/2014/main" id="{53DE27C4-9C25-41C9-8E5E-5E103693197E}"/>
            </a:ext>
          </a:extLst>
        </xdr:cNvPr>
        <xdr:cNvSpPr/>
      </xdr:nvSpPr>
      <xdr:spPr>
        <a:xfrm>
          <a:off x="1729741" y="192405"/>
          <a:ext cx="901064" cy="49911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ORDENAR</a:t>
          </a:r>
        </a:p>
        <a:p>
          <a:pPr algn="ctr"/>
          <a:r>
            <a:rPr lang="pt-BR" sz="1200" b="1"/>
            <a:t>CIDADES</a:t>
          </a:r>
        </a:p>
      </xdr:txBody>
    </xdr:sp>
    <xdr:clientData/>
  </xdr:twoCellAnchor>
  <xdr:twoCellAnchor>
    <xdr:from>
      <xdr:col>2</xdr:col>
      <xdr:colOff>289560</xdr:colOff>
      <xdr:row>0</xdr:row>
      <xdr:rowOff>45720</xdr:rowOff>
    </xdr:from>
    <xdr:to>
      <xdr:col>8</xdr:col>
      <xdr:colOff>22860</xdr:colOff>
      <xdr:row>5</xdr:row>
      <xdr:rowOff>121920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C0851F23-D9E4-4D0F-AA7C-C4F0E22DCC3C}"/>
            </a:ext>
          </a:extLst>
        </xdr:cNvPr>
        <xdr:cNvSpPr/>
      </xdr:nvSpPr>
      <xdr:spPr>
        <a:xfrm>
          <a:off x="1691640" y="45720"/>
          <a:ext cx="4305300" cy="990600"/>
        </a:xfrm>
        <a:prstGeom prst="rect">
          <a:avLst/>
        </a:prstGeom>
        <a:ln w="9525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3600" b="1">
              <a:ln>
                <a:noFill/>
              </a:ln>
              <a:solidFill>
                <a:srgbClr val="002060"/>
              </a:solidFill>
              <a:latin typeface="Goudy Old Style" panose="02020502050305020303" pitchFamily="18" charset="0"/>
            </a:rPr>
            <a:t>Mecânica de Mercado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261256</xdr:colOff>
      <xdr:row>0</xdr:row>
      <xdr:rowOff>1371599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796F160-CFE1-4526-BE42-3404FF945F8D}"/>
            </a:ext>
          </a:extLst>
        </xdr:cNvPr>
        <xdr:cNvSpPr txBox="1"/>
      </xdr:nvSpPr>
      <xdr:spPr>
        <a:xfrm>
          <a:off x="0" y="0"/>
          <a:ext cx="16524513" cy="13715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/>
            <a:t>TABELA DE RELAÇÕES DE IMPORTAÇÃO</a:t>
          </a:r>
          <a:r>
            <a:rPr lang="pt-BR" sz="3200" b="1" baseline="0"/>
            <a:t> E </a:t>
          </a:r>
          <a:r>
            <a:rPr lang="pt-BR" sz="3200" b="1"/>
            <a:t>EXPORTAÇÃO</a:t>
          </a:r>
          <a:endParaRPr lang="pt-BR" sz="3200" b="1" baseline="0"/>
        </a:p>
        <a:p>
          <a:r>
            <a:rPr lang="pt-BR" sz="1600" baseline="0"/>
            <a:t>Em uma COLUNA vemos a relação EXPORTAÇÃO dessa cidade.</a:t>
          </a:r>
        </a:p>
        <a:p>
          <a:r>
            <a:rPr lang="pt-BR" sz="1600" baseline="0"/>
            <a:t>Em uma LINHA vemos a relação de IMPORTAÇÃO dessa cidade.</a:t>
          </a:r>
        </a:p>
        <a:p>
          <a:r>
            <a:rPr lang="pt-BR" sz="1600" baseline="0"/>
            <a:t>Exemplo: na célula C7 vemos o modificador de importação de Nova Bretânia em relação a Arkma, enquanto na célula F4 vemor o modificador de exportação de Nova Bretânia para Akma.</a:t>
          </a:r>
          <a:endParaRPr lang="pt-BR" sz="16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theus Feron" id="{0232D4BC-DBB9-41F1-B61E-EAEF75BA1351}" userId="9f4a3a477dfcc40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6055BE-048B-4A86-B1E3-69E3E3CD13B1}" name="Tabela1" displayName="Tabela1" ref="E7:H13" totalsRowShown="0" headerRowDxfId="3">
  <autoFilter ref="E7:H13" xr:uid="{066055BE-048B-4A86-B1E3-69E3E3CD13B1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E8:H13">
    <sortCondition ref="E8:E13"/>
  </sortState>
  <tableColumns count="4">
    <tableColumn id="2" xr3:uid="{57625524-A27C-4073-87B7-26DE3FA40096}" name="Cidade" dataDxfId="2"/>
    <tableColumn id="3" xr3:uid="{BBE5B462-8074-4EAA-A4C0-D3C5930749FF}" name="Planilha"/>
    <tableColumn id="4" xr3:uid="{C19AB26D-A386-4491-AF02-3B55BCD31D78}" name="Multi Geral" dataDxfId="1"/>
    <tableColumn id="5" xr3:uid="{FC69CCCD-280F-431C-9C63-399396F8593A}" name="Mult Randômi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" dT="2021-10-19T17:17:40.46" personId="{0232D4BC-DBB9-41F1-B61E-EAEF75BA1351}" id="{6B0E6E55-5A0A-46F4-BFC3-C82616914B7C}">
    <text>Por enquanto essa planilha aceita apenas um dinheiro padrão para todas as cidades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C3E08-4887-4FF9-A192-03E69ABF288E}">
  <sheetPr codeName="Planilha1"/>
  <dimension ref="A1:Q30"/>
  <sheetViews>
    <sheetView showGridLines="0" tabSelected="1" workbookViewId="0">
      <selection activeCell="E16" sqref="E16"/>
    </sheetView>
  </sheetViews>
  <sheetFormatPr defaultRowHeight="14.4" x14ac:dyDescent="0.3"/>
  <cols>
    <col min="1" max="3" width="10.21875" customWidth="1"/>
    <col min="5" max="5" width="12.6640625" style="15" bestFit="1" customWidth="1"/>
    <col min="6" max="6" width="7.33203125" customWidth="1"/>
    <col min="7" max="7" width="10.33203125" customWidth="1"/>
    <col min="8" max="8" width="17.21875" style="13" bestFit="1" customWidth="1"/>
    <col min="9" max="9" width="16.88671875" customWidth="1"/>
    <col min="10" max="10" width="11" bestFit="1" customWidth="1"/>
    <col min="15" max="15" width="12.6640625" bestFit="1" customWidth="1"/>
  </cols>
  <sheetData>
    <row r="1" spans="1:17" x14ac:dyDescent="0.3">
      <c r="A1" s="35" t="s">
        <v>8</v>
      </c>
      <c r="B1" s="35"/>
      <c r="J1" s="1"/>
      <c r="K1" s="49" t="s">
        <v>16</v>
      </c>
      <c r="L1" s="50"/>
      <c r="M1" s="50"/>
      <c r="N1" s="50"/>
      <c r="O1" s="51"/>
      <c r="Q1" t="s">
        <v>29</v>
      </c>
    </row>
    <row r="2" spans="1:17" x14ac:dyDescent="0.3">
      <c r="A2" s="4" t="s">
        <v>6</v>
      </c>
      <c r="B2" s="2">
        <v>1.0000000000000001E-5</v>
      </c>
      <c r="Q2" t="s">
        <v>27</v>
      </c>
    </row>
    <row r="3" spans="1:17" x14ac:dyDescent="0.3">
      <c r="A3" s="4" t="s">
        <v>5</v>
      </c>
      <c r="B3" s="2">
        <v>2E-3</v>
      </c>
      <c r="K3" s="49" t="s">
        <v>17</v>
      </c>
      <c r="L3" s="50"/>
      <c r="M3" s="50"/>
      <c r="N3" s="50"/>
      <c r="O3" s="51"/>
    </row>
    <row r="4" spans="1:17" x14ac:dyDescent="0.3">
      <c r="A4" s="46"/>
      <c r="B4" s="46"/>
      <c r="K4" s="52" t="s">
        <v>18</v>
      </c>
      <c r="L4" s="52"/>
      <c r="M4" s="52"/>
      <c r="N4" s="52"/>
      <c r="O4" s="52"/>
    </row>
    <row r="5" spans="1:17" x14ac:dyDescent="0.3">
      <c r="A5" s="46"/>
      <c r="B5" s="46"/>
      <c r="K5" s="32" t="s">
        <v>19</v>
      </c>
      <c r="L5" s="31" t="s">
        <v>20</v>
      </c>
      <c r="M5" s="23" t="s">
        <v>21</v>
      </c>
      <c r="N5" s="24" t="s">
        <v>22</v>
      </c>
      <c r="O5" s="24" t="s">
        <v>23</v>
      </c>
      <c r="Q5" t="s">
        <v>24</v>
      </c>
    </row>
    <row r="6" spans="1:17" x14ac:dyDescent="0.3">
      <c r="A6" s="48"/>
      <c r="B6" s="48"/>
      <c r="C6" s="5"/>
      <c r="K6" s="33">
        <v>1</v>
      </c>
      <c r="L6" s="29">
        <v>1</v>
      </c>
      <c r="M6" s="27">
        <v>20</v>
      </c>
      <c r="N6" s="25">
        <v>20</v>
      </c>
      <c r="O6" s="25">
        <v>400</v>
      </c>
      <c r="Q6" t="s">
        <v>25</v>
      </c>
    </row>
    <row r="7" spans="1:17" x14ac:dyDescent="0.3">
      <c r="A7" s="42"/>
      <c r="B7" s="43"/>
      <c r="C7" s="6"/>
      <c r="E7" s="14" t="s">
        <v>0</v>
      </c>
      <c r="F7" s="1" t="s">
        <v>1</v>
      </c>
      <c r="G7" s="1" t="s">
        <v>3</v>
      </c>
      <c r="H7" s="12" t="s">
        <v>4</v>
      </c>
      <c r="I7" s="1"/>
      <c r="K7" s="33">
        <f>K6</f>
        <v>1</v>
      </c>
      <c r="L7" s="30">
        <f>K6*L6</f>
        <v>1</v>
      </c>
      <c r="M7" s="28">
        <f>L7*M6</f>
        <v>20</v>
      </c>
      <c r="N7" s="26">
        <f>M7*N6</f>
        <v>400</v>
      </c>
      <c r="O7" s="26">
        <f>N7*O6</f>
        <v>160000</v>
      </c>
      <c r="Q7" t="s">
        <v>26</v>
      </c>
    </row>
    <row r="8" spans="1:17" x14ac:dyDescent="0.3">
      <c r="A8" s="53"/>
      <c r="B8" s="54"/>
      <c r="C8" s="6"/>
      <c r="E8" s="15" t="s">
        <v>13</v>
      </c>
      <c r="G8" s="3">
        <v>1.17</v>
      </c>
      <c r="H8" s="13">
        <v>1.2700000079348683E-3</v>
      </c>
    </row>
    <row r="9" spans="1:17" x14ac:dyDescent="0.3">
      <c r="A9" s="53"/>
      <c r="B9" s="54"/>
      <c r="C9" s="7"/>
      <c r="E9" s="15" t="s">
        <v>10</v>
      </c>
      <c r="G9" s="3">
        <v>1</v>
      </c>
      <c r="H9" s="13">
        <v>1.0600000387057662E-3</v>
      </c>
    </row>
    <row r="10" spans="1:17" x14ac:dyDescent="0.3">
      <c r="A10" s="53"/>
      <c r="B10" s="54"/>
      <c r="C10" s="7"/>
      <c r="E10" s="15" t="s">
        <v>9</v>
      </c>
      <c r="G10" s="3">
        <v>1.1000000000000001</v>
      </c>
      <c r="H10" s="13">
        <v>1.4600000577047467E-3</v>
      </c>
    </row>
    <row r="11" spans="1:17" x14ac:dyDescent="0.3">
      <c r="A11" s="44"/>
      <c r="B11" s="45"/>
      <c r="C11" s="7"/>
      <c r="E11" s="15" t="s">
        <v>14</v>
      </c>
      <c r="G11" s="3">
        <v>1.1399999999999999</v>
      </c>
      <c r="H11" s="13">
        <v>9.8000001162290573E-4</v>
      </c>
    </row>
    <row r="12" spans="1:17" x14ac:dyDescent="0.3">
      <c r="A12" s="40" t="s">
        <v>7</v>
      </c>
      <c r="B12" s="40"/>
      <c r="C12" s="7"/>
      <c r="E12" s="15" t="s">
        <v>2</v>
      </c>
      <c r="G12" s="3">
        <v>1.2</v>
      </c>
      <c r="H12" s="13">
        <v>1.7800000496208668E-3</v>
      </c>
    </row>
    <row r="13" spans="1:17" x14ac:dyDescent="0.3">
      <c r="A13" s="41"/>
      <c r="B13" s="41"/>
      <c r="C13" s="7"/>
      <c r="E13" s="15" t="s">
        <v>11</v>
      </c>
      <c r="G13" s="3">
        <v>1.1000000000000001</v>
      </c>
      <c r="H13" s="13">
        <v>1.1500000255182385E-3</v>
      </c>
    </row>
    <row r="14" spans="1:17" ht="14.4" customHeight="1" x14ac:dyDescent="0.3">
      <c r="A14" s="36" t="s">
        <v>2</v>
      </c>
      <c r="B14" s="37"/>
      <c r="C14" s="7"/>
      <c r="G14" s="3"/>
    </row>
    <row r="15" spans="1:17" ht="14.4" customHeight="1" x14ac:dyDescent="0.3">
      <c r="A15" s="38"/>
      <c r="B15" s="39"/>
      <c r="C15" s="7"/>
    </row>
    <row r="16" spans="1:17" x14ac:dyDescent="0.3">
      <c r="A16" s="46"/>
      <c r="B16" s="46"/>
      <c r="C16" s="7"/>
    </row>
    <row r="17" spans="1:3" ht="15.6" x14ac:dyDescent="0.3">
      <c r="A17" s="46"/>
      <c r="B17" s="46"/>
      <c r="C17" s="8"/>
    </row>
    <row r="18" spans="1:3" ht="15.6" x14ac:dyDescent="0.3">
      <c r="A18" s="46"/>
      <c r="B18" s="46"/>
      <c r="C18" s="8"/>
    </row>
    <row r="19" spans="1:3" ht="15.6" x14ac:dyDescent="0.3">
      <c r="A19" s="46"/>
      <c r="B19" s="46"/>
      <c r="C19" s="9"/>
    </row>
    <row r="20" spans="1:3" ht="15.6" x14ac:dyDescent="0.3">
      <c r="A20" s="46"/>
      <c r="B20" s="46"/>
      <c r="C20" s="9"/>
    </row>
    <row r="21" spans="1:3" x14ac:dyDescent="0.3">
      <c r="A21" s="46"/>
      <c r="B21" s="46"/>
      <c r="C21" s="7"/>
    </row>
    <row r="22" spans="1:3" x14ac:dyDescent="0.3">
      <c r="A22" s="34">
        <f>MATCH(A14,Tabela1[Cidade],0)</f>
        <v>5</v>
      </c>
      <c r="B22" s="34"/>
      <c r="C22" s="7"/>
    </row>
    <row r="23" spans="1:3" x14ac:dyDescent="0.3">
      <c r="A23" s="42"/>
      <c r="B23" s="43"/>
      <c r="C23" s="7"/>
    </row>
    <row r="24" spans="1:3" x14ac:dyDescent="0.3">
      <c r="A24" s="44"/>
      <c r="B24" s="45"/>
      <c r="C24" s="7"/>
    </row>
    <row r="25" spans="1:3" x14ac:dyDescent="0.3">
      <c r="A25" s="47" t="s">
        <v>12</v>
      </c>
      <c r="B25" s="47"/>
      <c r="C25" s="7"/>
    </row>
    <row r="26" spans="1:3" x14ac:dyDescent="0.3">
      <c r="A26" s="34" t="s">
        <v>28</v>
      </c>
      <c r="B26" s="34"/>
      <c r="C26" s="7"/>
    </row>
    <row r="27" spans="1:3" x14ac:dyDescent="0.3">
      <c r="A27" s="47" t="s">
        <v>15</v>
      </c>
      <c r="B27" s="47"/>
      <c r="C27" s="10"/>
    </row>
    <row r="28" spans="1:3" x14ac:dyDescent="0.3">
      <c r="A28" s="34">
        <f>COUNTA(Tabela1[Cidade])</f>
        <v>6</v>
      </c>
      <c r="B28" s="34"/>
      <c r="C28" s="7"/>
    </row>
    <row r="29" spans="1:3" x14ac:dyDescent="0.3">
      <c r="C29" s="7"/>
    </row>
    <row r="30" spans="1:3" x14ac:dyDescent="0.3">
      <c r="C30" s="11"/>
    </row>
  </sheetData>
  <mergeCells count="17">
    <mergeCell ref="K1:O1"/>
    <mergeCell ref="K3:O3"/>
    <mergeCell ref="K4:O4"/>
    <mergeCell ref="A7:B11"/>
    <mergeCell ref="A27:B27"/>
    <mergeCell ref="A28:B28"/>
    <mergeCell ref="A1:B1"/>
    <mergeCell ref="A14:B15"/>
    <mergeCell ref="A12:B13"/>
    <mergeCell ref="A23:B24"/>
    <mergeCell ref="A22:B22"/>
    <mergeCell ref="A16:B17"/>
    <mergeCell ref="A18:B19"/>
    <mergeCell ref="A20:B21"/>
    <mergeCell ref="A25:B25"/>
    <mergeCell ref="A26:B26"/>
    <mergeCell ref="A4:B6"/>
  </mergeCells>
  <phoneticPr fontId="6" type="noConversion"/>
  <dataValidations count="1">
    <dataValidation type="list" allowBlank="1" showInputMessage="1" showErrorMessage="1" sqref="A14" xr:uid="{183373E6-2BD6-4481-AE01-3954F1E9AD94}">
      <formula1>NomesCidades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E2D8A-A745-466D-B432-FF01529599BB}">
  <sheetPr codeName="Planilha2"/>
  <dimension ref="A1:AW50"/>
  <sheetViews>
    <sheetView zoomScale="85" zoomScaleNormal="85" workbookViewId="0">
      <selection activeCell="I6" sqref="I6"/>
    </sheetView>
  </sheetViews>
  <sheetFormatPr defaultColWidth="13.21875" defaultRowHeight="42" customHeight="1" x14ac:dyDescent="0.3"/>
  <cols>
    <col min="1" max="1" width="13.21875" style="21"/>
    <col min="2" max="16384" width="13.21875" style="17"/>
  </cols>
  <sheetData>
    <row r="1" spans="1:15" s="19" customFormat="1" ht="109.8" customHeight="1" x14ac:dyDescent="0.3">
      <c r="A1" s="18"/>
      <c r="F1" s="19" t="s">
        <v>27</v>
      </c>
    </row>
    <row r="2" spans="1:15" s="20" customFormat="1" ht="42" customHeight="1" x14ac:dyDescent="0.3">
      <c r="A2" s="22"/>
      <c r="B2" s="20" t="str" cm="1">
        <f t="array" ref="B2:G2">TRANSPOSE(_xlfn.ANCHORARRAY(A3))</f>
        <v>Andíl</v>
      </c>
      <c r="C2" s="20" t="str">
        <v>Arkma</v>
      </c>
      <c r="D2" s="20" t="str">
        <v>Faristéia</v>
      </c>
      <c r="E2" s="20" t="str">
        <v>Nesmé</v>
      </c>
      <c r="F2" s="20" t="str">
        <v>Nova Bretânia</v>
      </c>
      <c r="G2" s="20" t="str">
        <v>Vila Lór</v>
      </c>
    </row>
    <row r="3" spans="1:15" ht="42" customHeight="1" x14ac:dyDescent="0.3">
      <c r="A3" s="21" t="str" cm="1">
        <f t="array" ref="A3:A8">Tabela1[Cidade]</f>
        <v>Andíl</v>
      </c>
      <c r="B3" s="16">
        <v>1</v>
      </c>
      <c r="C3" s="17">
        <v>1.9</v>
      </c>
      <c r="D3" s="17">
        <v>1</v>
      </c>
      <c r="E3" s="17">
        <v>1.08</v>
      </c>
      <c r="F3" s="17">
        <v>1.1499999999999999</v>
      </c>
      <c r="G3" s="17">
        <v>1.04</v>
      </c>
    </row>
    <row r="4" spans="1:15" ht="42" customHeight="1" x14ac:dyDescent="0.3">
      <c r="A4" s="21" t="str">
        <v>Arkma</v>
      </c>
      <c r="B4" s="17">
        <v>1.78</v>
      </c>
      <c r="C4" s="16">
        <v>1</v>
      </c>
      <c r="D4" s="17">
        <v>1.08</v>
      </c>
      <c r="E4" s="17">
        <v>1.6</v>
      </c>
      <c r="F4" s="17">
        <v>1.01</v>
      </c>
      <c r="G4" s="17">
        <v>1.05</v>
      </c>
    </row>
    <row r="5" spans="1:15" ht="42" customHeight="1" x14ac:dyDescent="0.3">
      <c r="A5" s="21" t="str">
        <v>Faristéia</v>
      </c>
      <c r="B5" s="17">
        <v>1.2</v>
      </c>
      <c r="C5" s="17">
        <v>1.1000000000000001</v>
      </c>
      <c r="D5" s="16">
        <v>1</v>
      </c>
      <c r="E5" s="17">
        <v>1.3</v>
      </c>
      <c r="F5" s="17">
        <v>1.1499999999999999</v>
      </c>
      <c r="G5" s="17">
        <v>1.02</v>
      </c>
    </row>
    <row r="6" spans="1:15" ht="42" customHeight="1" x14ac:dyDescent="0.3">
      <c r="A6" s="21" t="str">
        <v>Nesmé</v>
      </c>
      <c r="B6" s="17">
        <v>1.06</v>
      </c>
      <c r="C6" s="17">
        <v>1.65</v>
      </c>
      <c r="D6" s="17">
        <v>1.35</v>
      </c>
      <c r="E6" s="16">
        <v>1</v>
      </c>
      <c r="F6" s="17">
        <v>2</v>
      </c>
      <c r="G6" s="17">
        <v>1.35</v>
      </c>
    </row>
    <row r="7" spans="1:15" ht="42" customHeight="1" x14ac:dyDescent="0.3">
      <c r="A7" s="21" t="str">
        <v>Nova Bretânia</v>
      </c>
      <c r="B7" s="17">
        <v>1.1000000000000001</v>
      </c>
      <c r="C7" s="17">
        <v>1.0009999999999999</v>
      </c>
      <c r="D7" s="17">
        <v>1.1000000000000001</v>
      </c>
      <c r="E7" s="17">
        <v>1.85</v>
      </c>
      <c r="F7" s="16">
        <v>1</v>
      </c>
      <c r="G7" s="17">
        <v>1.05</v>
      </c>
    </row>
    <row r="8" spans="1:15" ht="42" customHeight="1" x14ac:dyDescent="0.3">
      <c r="A8" s="21" t="str">
        <v>Vila Lór</v>
      </c>
      <c r="B8" s="17">
        <v>1.05</v>
      </c>
      <c r="C8" s="17">
        <v>1.07</v>
      </c>
      <c r="D8" s="17">
        <v>1.06</v>
      </c>
      <c r="E8" s="17">
        <v>1.4</v>
      </c>
      <c r="F8" s="17">
        <v>1.1000000000000001</v>
      </c>
      <c r="G8" s="16">
        <v>1</v>
      </c>
    </row>
    <row r="9" spans="1:15" ht="42" customHeight="1" x14ac:dyDescent="0.3">
      <c r="H9" s="16"/>
    </row>
    <row r="10" spans="1:15" ht="42" customHeight="1" x14ac:dyDescent="0.3">
      <c r="I10" s="16"/>
    </row>
    <row r="11" spans="1:15" ht="42" customHeight="1" x14ac:dyDescent="0.3">
      <c r="J11" s="16"/>
    </row>
    <row r="12" spans="1:15" ht="42" customHeight="1" x14ac:dyDescent="0.3">
      <c r="K12" s="16"/>
    </row>
    <row r="13" spans="1:15" ht="42" customHeight="1" x14ac:dyDescent="0.3">
      <c r="L13" s="16"/>
    </row>
    <row r="14" spans="1:15" ht="42" customHeight="1" x14ac:dyDescent="0.3">
      <c r="M14" s="16"/>
    </row>
    <row r="15" spans="1:15" ht="42" customHeight="1" x14ac:dyDescent="0.3">
      <c r="N15" s="16"/>
    </row>
    <row r="16" spans="1:15" ht="42" customHeight="1" x14ac:dyDescent="0.3">
      <c r="O16" s="16"/>
    </row>
    <row r="17" spans="16:31" ht="42" customHeight="1" x14ac:dyDescent="0.3">
      <c r="P17" s="16"/>
    </row>
    <row r="18" spans="16:31" ht="42" customHeight="1" x14ac:dyDescent="0.3">
      <c r="Q18" s="16"/>
    </row>
    <row r="19" spans="16:31" ht="42" customHeight="1" x14ac:dyDescent="0.3">
      <c r="R19" s="16"/>
    </row>
    <row r="20" spans="16:31" ht="42" customHeight="1" x14ac:dyDescent="0.3">
      <c r="S20" s="16"/>
    </row>
    <row r="21" spans="16:31" ht="42" customHeight="1" x14ac:dyDescent="0.3">
      <c r="T21" s="16"/>
    </row>
    <row r="22" spans="16:31" ht="42" customHeight="1" x14ac:dyDescent="0.3">
      <c r="U22" s="16"/>
    </row>
    <row r="23" spans="16:31" ht="42" customHeight="1" x14ac:dyDescent="0.3">
      <c r="V23" s="16"/>
    </row>
    <row r="24" spans="16:31" ht="42" customHeight="1" x14ac:dyDescent="0.3">
      <c r="W24" s="16"/>
    </row>
    <row r="25" spans="16:31" ht="42" customHeight="1" x14ac:dyDescent="0.3">
      <c r="X25" s="16"/>
    </row>
    <row r="26" spans="16:31" ht="42" customHeight="1" x14ac:dyDescent="0.3">
      <c r="Y26" s="16"/>
    </row>
    <row r="27" spans="16:31" ht="42" customHeight="1" x14ac:dyDescent="0.3">
      <c r="Z27" s="16"/>
    </row>
    <row r="28" spans="16:31" ht="42" customHeight="1" x14ac:dyDescent="0.3">
      <c r="AA28" s="16"/>
    </row>
    <row r="29" spans="16:31" ht="42" customHeight="1" x14ac:dyDescent="0.3">
      <c r="AB29" s="16"/>
    </row>
    <row r="30" spans="16:31" ht="42" customHeight="1" x14ac:dyDescent="0.3">
      <c r="AC30" s="16"/>
    </row>
    <row r="31" spans="16:31" ht="42" customHeight="1" x14ac:dyDescent="0.3">
      <c r="AD31" s="16"/>
    </row>
    <row r="32" spans="16:31" ht="42" customHeight="1" x14ac:dyDescent="0.3">
      <c r="AE32" s="16"/>
    </row>
    <row r="33" spans="32:47" ht="42" customHeight="1" x14ac:dyDescent="0.3">
      <c r="AF33" s="16"/>
    </row>
    <row r="34" spans="32:47" ht="42" customHeight="1" x14ac:dyDescent="0.3">
      <c r="AG34" s="16"/>
    </row>
    <row r="35" spans="32:47" ht="42" customHeight="1" x14ac:dyDescent="0.3">
      <c r="AH35" s="16"/>
    </row>
    <row r="36" spans="32:47" ht="42" customHeight="1" x14ac:dyDescent="0.3">
      <c r="AI36" s="16"/>
    </row>
    <row r="37" spans="32:47" ht="42" customHeight="1" x14ac:dyDescent="0.3">
      <c r="AJ37" s="16"/>
    </row>
    <row r="38" spans="32:47" ht="42" customHeight="1" x14ac:dyDescent="0.3">
      <c r="AK38" s="16"/>
    </row>
    <row r="39" spans="32:47" ht="42" customHeight="1" x14ac:dyDescent="0.3">
      <c r="AL39" s="16"/>
    </row>
    <row r="40" spans="32:47" ht="42" customHeight="1" x14ac:dyDescent="0.3">
      <c r="AM40" s="16"/>
    </row>
    <row r="41" spans="32:47" ht="42" customHeight="1" x14ac:dyDescent="0.3">
      <c r="AN41" s="16"/>
    </row>
    <row r="42" spans="32:47" ht="42" customHeight="1" x14ac:dyDescent="0.3">
      <c r="AO42" s="16"/>
    </row>
    <row r="43" spans="32:47" ht="42" customHeight="1" x14ac:dyDescent="0.3">
      <c r="AP43" s="16"/>
    </row>
    <row r="44" spans="32:47" ht="42" customHeight="1" x14ac:dyDescent="0.3">
      <c r="AQ44" s="16"/>
    </row>
    <row r="45" spans="32:47" ht="42" customHeight="1" x14ac:dyDescent="0.3">
      <c r="AR45" s="16"/>
    </row>
    <row r="46" spans="32:47" ht="42" customHeight="1" x14ac:dyDescent="0.3">
      <c r="AS46" s="16"/>
    </row>
    <row r="47" spans="32:47" ht="42" customHeight="1" x14ac:dyDescent="0.3">
      <c r="AT47" s="16"/>
    </row>
    <row r="48" spans="32:47" ht="42" customHeight="1" x14ac:dyDescent="0.3">
      <c r="AU48" s="16"/>
    </row>
    <row r="49" spans="48:49" ht="42" customHeight="1" x14ac:dyDescent="0.3">
      <c r="AV49" s="16"/>
    </row>
    <row r="50" spans="48:49" ht="42" customHeight="1" x14ac:dyDescent="0.3">
      <c r="AW50" s="1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Controle</vt:lpstr>
      <vt:lpstr>Relações</vt:lpstr>
      <vt:lpstr>Controle!NomesCidades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Feron</dc:creator>
  <cp:lastModifiedBy>Matheus</cp:lastModifiedBy>
  <dcterms:created xsi:type="dcterms:W3CDTF">2019-07-28T22:19:50Z</dcterms:created>
  <dcterms:modified xsi:type="dcterms:W3CDTF">2021-11-23T00:46:52Z</dcterms:modified>
</cp:coreProperties>
</file>